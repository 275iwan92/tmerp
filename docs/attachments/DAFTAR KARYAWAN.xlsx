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D Telasih\FORM\DATA KARYAWAN\DAFTAR NAMA KARYAWAN\"/>
    </mc:Choice>
  </mc:AlternateContent>
  <xr:revisionPtr revIDLastSave="0" documentId="13_ncr:1_{4FA9FF70-80D7-4F23-9ED7-4A762ACDE3BC}" xr6:coauthVersionLast="47" xr6:coauthVersionMax="47" xr10:uidLastSave="{00000000-0000-0000-0000-000000000000}"/>
  <bookViews>
    <workbookView xWindow="-110" yWindow="-110" windowWidth="19420" windowHeight="10300" firstSheet="2" activeTab="6" xr2:uid="{D5ECB82C-B9C3-4B07-842C-AADD370FEAF2}"/>
  </bookViews>
  <sheets>
    <sheet name="07.27" sheetId="14" r:id="rId1"/>
    <sheet name="10.07" sheetId="15" r:id="rId2"/>
    <sheet name="1901" sheetId="16" r:id="rId3"/>
    <sheet name="2025" sheetId="17" r:id="rId4"/>
    <sheet name="2026" sheetId="18" r:id="rId5"/>
    <sheet name="2026 NEW" sheetId="19" r:id="rId6"/>
    <sheet name="2026 NEW (2)" sheetId="20" r:id="rId7"/>
  </sheets>
  <definedNames>
    <definedName name="_xlnm._FilterDatabase" localSheetId="0" hidden="1">'07.27'!$A$2:$WVR$2</definedName>
    <definedName name="_xlnm._FilterDatabase" localSheetId="1" hidden="1">'10.07'!$A$2:$WVR$2</definedName>
    <definedName name="_xlnm._FilterDatabase" localSheetId="2" hidden="1">'1901'!$A$2:$WVR$93</definedName>
    <definedName name="_xlnm._FilterDatabase" localSheetId="3" hidden="1">'2025'!$A$2:$M$149</definedName>
    <definedName name="_xlnm._FilterDatabase" localSheetId="4" hidden="1">'2026'!$A$2:$M$149</definedName>
    <definedName name="_xlnm._FilterDatabase" localSheetId="5" hidden="1">'2026 NEW'!$A$2:$N$144</definedName>
    <definedName name="_xlnm._FilterDatabase" localSheetId="6" hidden="1">'2026 NEW (2)'!$A$2:$N$154</definedName>
  </definedName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7" i="20" l="1"/>
  <c r="G157" i="20"/>
  <c r="G156" i="20"/>
  <c r="G158" i="20"/>
  <c r="G155" i="20"/>
  <c r="G151" i="20"/>
  <c r="I151" i="20"/>
  <c r="I148" i="20"/>
  <c r="G148" i="20"/>
  <c r="I147" i="20"/>
  <c r="G147" i="20"/>
  <c r="I150" i="20"/>
  <c r="G150" i="20"/>
  <c r="I149" i="20"/>
  <c r="G149" i="20"/>
  <c r="I146" i="20"/>
  <c r="G146" i="20"/>
  <c r="I145" i="20"/>
  <c r="G145" i="20"/>
  <c r="I144" i="20"/>
  <c r="G144" i="20"/>
  <c r="I149" i="17"/>
  <c r="G149" i="17"/>
  <c r="G143" i="20"/>
  <c r="I143" i="20"/>
  <c r="I142" i="20"/>
  <c r="G142" i="20"/>
  <c r="I141" i="20"/>
  <c r="I140" i="20"/>
  <c r="G141" i="20"/>
  <c r="G139" i="20"/>
  <c r="I139" i="20"/>
  <c r="G140" i="20"/>
  <c r="G134" i="20"/>
  <c r="I134" i="20"/>
  <c r="I138" i="20"/>
  <c r="G138" i="20"/>
  <c r="I137" i="20"/>
  <c r="G137" i="20"/>
  <c r="I136" i="20"/>
  <c r="G136" i="20"/>
  <c r="I135" i="20"/>
  <c r="G135" i="20"/>
  <c r="I133" i="20"/>
  <c r="G133" i="20"/>
  <c r="I132" i="20"/>
  <c r="G132" i="20"/>
  <c r="I131" i="20"/>
  <c r="G131" i="20"/>
  <c r="I130" i="20"/>
  <c r="G130" i="20"/>
  <c r="I129" i="20"/>
  <c r="G129" i="20"/>
  <c r="I128" i="20"/>
  <c r="G128" i="20"/>
  <c r="I127" i="20"/>
  <c r="G127" i="20"/>
  <c r="I126" i="20"/>
  <c r="G126" i="20"/>
  <c r="I125" i="20"/>
  <c r="G125" i="20"/>
  <c r="I124" i="20"/>
  <c r="G124" i="20"/>
  <c r="I123" i="20"/>
  <c r="G123" i="20"/>
  <c r="I122" i="20"/>
  <c r="G122" i="20"/>
  <c r="I121" i="20"/>
  <c r="G121" i="20"/>
  <c r="I120" i="20"/>
  <c r="G120" i="20"/>
  <c r="I119" i="20"/>
  <c r="G119" i="20"/>
  <c r="I118" i="20"/>
  <c r="G118" i="20"/>
  <c r="I117" i="20"/>
  <c r="G117" i="20"/>
  <c r="I116" i="20"/>
  <c r="G116" i="20"/>
  <c r="I115" i="20"/>
  <c r="G115" i="20"/>
  <c r="I114" i="20"/>
  <c r="G114" i="20"/>
  <c r="I113" i="20"/>
  <c r="G113" i="20"/>
  <c r="I112" i="20"/>
  <c r="G112" i="20"/>
  <c r="I111" i="20"/>
  <c r="G111" i="20"/>
  <c r="I110" i="20"/>
  <c r="G110" i="20"/>
  <c r="I109" i="20"/>
  <c r="G109" i="20"/>
  <c r="I108" i="20"/>
  <c r="G108" i="20"/>
  <c r="I107" i="20"/>
  <c r="G107" i="20"/>
  <c r="I106" i="20"/>
  <c r="G106" i="20"/>
  <c r="I105" i="20"/>
  <c r="G105" i="20"/>
  <c r="I104" i="20"/>
  <c r="G104" i="20"/>
  <c r="I103" i="20"/>
  <c r="G103" i="20"/>
  <c r="I102" i="20"/>
  <c r="G102" i="20"/>
  <c r="I101" i="20"/>
  <c r="G101" i="20"/>
  <c r="I100" i="20"/>
  <c r="G100" i="20"/>
  <c r="I99" i="20"/>
  <c r="G99" i="20"/>
  <c r="I98" i="20"/>
  <c r="G98" i="20"/>
  <c r="I97" i="20"/>
  <c r="G97" i="20"/>
  <c r="I96" i="20"/>
  <c r="G96" i="20"/>
  <c r="I95" i="20"/>
  <c r="G95" i="20"/>
  <c r="I94" i="20"/>
  <c r="G94" i="20"/>
  <c r="I93" i="20"/>
  <c r="G93" i="20"/>
  <c r="I92" i="20"/>
  <c r="G92" i="20"/>
  <c r="I91" i="20"/>
  <c r="G91" i="20"/>
  <c r="I90" i="20"/>
  <c r="G90" i="20"/>
  <c r="I89" i="20"/>
  <c r="G89" i="20"/>
  <c r="I88" i="20"/>
  <c r="G88" i="20"/>
  <c r="I87" i="20"/>
  <c r="G87" i="20"/>
  <c r="I86" i="20"/>
  <c r="G86" i="20"/>
  <c r="I85" i="20"/>
  <c r="G85" i="20"/>
  <c r="I84" i="20"/>
  <c r="G84" i="20"/>
  <c r="I83" i="20"/>
  <c r="G83" i="20"/>
  <c r="I82" i="20"/>
  <c r="G82" i="20"/>
  <c r="I81" i="20"/>
  <c r="G81" i="20"/>
  <c r="I80" i="20"/>
  <c r="G80" i="20"/>
  <c r="I79" i="20"/>
  <c r="G79" i="20"/>
  <c r="I78" i="20"/>
  <c r="G78" i="20"/>
  <c r="I77" i="20"/>
  <c r="G77" i="20"/>
  <c r="I76" i="20"/>
  <c r="G76" i="20"/>
  <c r="I75" i="20"/>
  <c r="G75" i="20"/>
  <c r="I74" i="20"/>
  <c r="G74" i="20"/>
  <c r="I73" i="20"/>
  <c r="G73" i="20"/>
  <c r="I72" i="20"/>
  <c r="G72" i="20"/>
  <c r="I71" i="20"/>
  <c r="G71" i="20"/>
  <c r="I70" i="20"/>
  <c r="G70" i="20"/>
  <c r="I69" i="20"/>
  <c r="G69" i="20"/>
  <c r="I68" i="20"/>
  <c r="G68" i="20"/>
  <c r="I67" i="20"/>
  <c r="G67" i="20"/>
  <c r="I66" i="20"/>
  <c r="G66" i="20"/>
  <c r="I65" i="20"/>
  <c r="G65" i="20"/>
  <c r="I64" i="20"/>
  <c r="G64" i="20"/>
  <c r="I63" i="20"/>
  <c r="G63" i="20"/>
  <c r="I62" i="20"/>
  <c r="G62" i="20"/>
  <c r="I61" i="20"/>
  <c r="G61" i="20"/>
  <c r="I60" i="20"/>
  <c r="G60" i="20"/>
  <c r="I59" i="20"/>
  <c r="G59" i="20"/>
  <c r="I58" i="20"/>
  <c r="G58" i="20"/>
  <c r="I57" i="20"/>
  <c r="G57" i="20"/>
  <c r="I56" i="20"/>
  <c r="G56" i="20"/>
  <c r="I55" i="20"/>
  <c r="G55" i="20"/>
  <c r="I54" i="20"/>
  <c r="G54" i="20"/>
  <c r="I53" i="20"/>
  <c r="G53" i="20"/>
  <c r="I52" i="20"/>
  <c r="G52" i="20"/>
  <c r="I51" i="20"/>
  <c r="G51" i="20"/>
  <c r="I50" i="20"/>
  <c r="G50" i="20"/>
  <c r="I49" i="20"/>
  <c r="G49" i="20"/>
  <c r="I48" i="20"/>
  <c r="G48" i="20"/>
  <c r="I47" i="20"/>
  <c r="G47" i="20"/>
  <c r="I46" i="20"/>
  <c r="G46" i="20"/>
  <c r="I45" i="20"/>
  <c r="G45" i="20"/>
  <c r="I44" i="20"/>
  <c r="G44" i="20"/>
  <c r="I43" i="20"/>
  <c r="G43" i="20"/>
  <c r="I42" i="20"/>
  <c r="G42" i="20"/>
  <c r="I41" i="20"/>
  <c r="G41" i="20"/>
  <c r="I40" i="20"/>
  <c r="G40" i="20"/>
  <c r="I39" i="20"/>
  <c r="G39" i="20"/>
  <c r="I38" i="20"/>
  <c r="G38" i="20"/>
  <c r="I37" i="20"/>
  <c r="G37" i="20"/>
  <c r="I36" i="20"/>
  <c r="G36" i="20"/>
  <c r="I35" i="20"/>
  <c r="G35" i="20"/>
  <c r="I34" i="20"/>
  <c r="G34" i="20"/>
  <c r="I33" i="20"/>
  <c r="G33" i="20"/>
  <c r="I32" i="20"/>
  <c r="G32" i="20"/>
  <c r="I31" i="20"/>
  <c r="G31" i="20"/>
  <c r="I30" i="20"/>
  <c r="G30" i="20"/>
  <c r="I29" i="20"/>
  <c r="G29" i="20"/>
  <c r="I28" i="20"/>
  <c r="G28" i="20"/>
  <c r="I27" i="20"/>
  <c r="G27" i="20"/>
  <c r="I26" i="20"/>
  <c r="G26" i="20"/>
  <c r="I25" i="20"/>
  <c r="G25" i="20"/>
  <c r="I24" i="20"/>
  <c r="G24" i="20"/>
  <c r="I23" i="20"/>
  <c r="G23" i="20"/>
  <c r="I22" i="20"/>
  <c r="G22" i="20"/>
  <c r="I21" i="20"/>
  <c r="G21" i="20"/>
  <c r="I20" i="20"/>
  <c r="G20" i="20"/>
  <c r="I19" i="20"/>
  <c r="G19" i="20"/>
  <c r="I18" i="20"/>
  <c r="G18" i="20"/>
  <c r="I17" i="20"/>
  <c r="G17" i="20"/>
  <c r="I16" i="20"/>
  <c r="G16" i="20"/>
  <c r="I15" i="20"/>
  <c r="G15" i="20"/>
  <c r="I14" i="20"/>
  <c r="G14" i="20"/>
  <c r="I13" i="20"/>
  <c r="G13" i="20"/>
  <c r="I12" i="20"/>
  <c r="G12" i="20"/>
  <c r="I11" i="20"/>
  <c r="G11" i="20"/>
  <c r="I10" i="20"/>
  <c r="G10" i="20"/>
  <c r="I9" i="20"/>
  <c r="G9" i="20"/>
  <c r="I8" i="20"/>
  <c r="G8" i="20"/>
  <c r="I7" i="20"/>
  <c r="G7" i="20"/>
  <c r="I6" i="20"/>
  <c r="G6" i="20"/>
  <c r="I5" i="20"/>
  <c r="G5" i="20"/>
  <c r="I4" i="20"/>
  <c r="G4" i="20"/>
  <c r="I3" i="20"/>
  <c r="G3" i="20"/>
  <c r="I144" i="19"/>
  <c r="G144" i="19"/>
  <c r="I143" i="19"/>
  <c r="G143" i="19"/>
  <c r="I142" i="19"/>
  <c r="G142" i="19"/>
  <c r="I141" i="19"/>
  <c r="G141" i="19"/>
  <c r="I140" i="19"/>
  <c r="G140" i="19"/>
  <c r="G138" i="19"/>
  <c r="I138" i="19"/>
  <c r="F26" i="16"/>
  <c r="G3" i="19"/>
  <c r="I139" i="19"/>
  <c r="G139" i="19"/>
  <c r="G40" i="19"/>
  <c r="I40" i="19"/>
  <c r="I137" i="19"/>
  <c r="G137" i="19"/>
  <c r="I136" i="19"/>
  <c r="G136" i="19"/>
  <c r="I135" i="19"/>
  <c r="G135" i="19"/>
  <c r="I134" i="19"/>
  <c r="G134" i="19"/>
  <c r="I133" i="19"/>
  <c r="G133" i="19"/>
  <c r="I132" i="19"/>
  <c r="G132" i="19"/>
  <c r="I131" i="19"/>
  <c r="G131" i="19"/>
  <c r="I130" i="19"/>
  <c r="G130" i="19"/>
  <c r="I129" i="19"/>
  <c r="G129" i="19"/>
  <c r="I128" i="19"/>
  <c r="G128" i="19"/>
  <c r="I127" i="19"/>
  <c r="G127" i="19"/>
  <c r="I126" i="19"/>
  <c r="G126" i="19"/>
  <c r="I125" i="19"/>
  <c r="G125" i="19"/>
  <c r="I124" i="19"/>
  <c r="G124" i="19"/>
  <c r="I123" i="19"/>
  <c r="G123" i="19"/>
  <c r="I122" i="19"/>
  <c r="G122" i="19"/>
  <c r="I121" i="19"/>
  <c r="G121" i="19"/>
  <c r="I120" i="19"/>
  <c r="G120" i="19"/>
  <c r="I119" i="19"/>
  <c r="G119" i="19"/>
  <c r="I118" i="19"/>
  <c r="G118" i="19"/>
  <c r="I117" i="19"/>
  <c r="G117" i="19"/>
  <c r="I116" i="19"/>
  <c r="G116" i="19"/>
  <c r="I115" i="19"/>
  <c r="G115" i="19"/>
  <c r="I114" i="19"/>
  <c r="G114" i="19"/>
  <c r="I113" i="19"/>
  <c r="G113" i="19"/>
  <c r="I112" i="19"/>
  <c r="G112" i="19"/>
  <c r="I111" i="19"/>
  <c r="G111" i="19"/>
  <c r="I110" i="19"/>
  <c r="G110" i="19"/>
  <c r="I109" i="19"/>
  <c r="G109" i="19"/>
  <c r="I108" i="19"/>
  <c r="G108" i="19"/>
  <c r="I107" i="19"/>
  <c r="G107" i="19"/>
  <c r="I106" i="19"/>
  <c r="G106" i="19"/>
  <c r="I105" i="19"/>
  <c r="G105" i="19"/>
  <c r="I104" i="19"/>
  <c r="G104" i="19"/>
  <c r="I103" i="19"/>
  <c r="G103" i="19"/>
  <c r="I102" i="19"/>
  <c r="G102" i="19"/>
  <c r="I101" i="19"/>
  <c r="G101" i="19"/>
  <c r="I100" i="19"/>
  <c r="G100" i="19"/>
  <c r="I99" i="19"/>
  <c r="G99" i="19"/>
  <c r="I98" i="19"/>
  <c r="G98" i="19"/>
  <c r="I97" i="19"/>
  <c r="G97" i="19"/>
  <c r="I96" i="19"/>
  <c r="G96" i="19"/>
  <c r="I95" i="19"/>
  <c r="G95" i="19"/>
  <c r="I94" i="19"/>
  <c r="G94" i="19"/>
  <c r="I93" i="19"/>
  <c r="G93" i="19"/>
  <c r="I92" i="19"/>
  <c r="G92" i="19"/>
  <c r="I91" i="19"/>
  <c r="G91" i="19"/>
  <c r="I90" i="19"/>
  <c r="G90" i="19"/>
  <c r="I89" i="19"/>
  <c r="G89" i="19"/>
  <c r="I88" i="19"/>
  <c r="G88" i="19"/>
  <c r="I87" i="19"/>
  <c r="G87" i="19"/>
  <c r="I86" i="19"/>
  <c r="G86" i="19"/>
  <c r="I85" i="19"/>
  <c r="G85" i="19"/>
  <c r="I84" i="19"/>
  <c r="G84" i="19"/>
  <c r="I83" i="19"/>
  <c r="G83" i="19"/>
  <c r="I82" i="19"/>
  <c r="G82" i="19"/>
  <c r="I81" i="19"/>
  <c r="G81" i="19"/>
  <c r="I80" i="19"/>
  <c r="G80" i="19"/>
  <c r="I79" i="19"/>
  <c r="G79" i="19"/>
  <c r="I78" i="19"/>
  <c r="G78" i="19"/>
  <c r="I77" i="19"/>
  <c r="G77" i="19"/>
  <c r="I76" i="19"/>
  <c r="G76" i="19"/>
  <c r="I75" i="19"/>
  <c r="G75" i="19"/>
  <c r="I74" i="19"/>
  <c r="G74" i="19"/>
  <c r="I73" i="19"/>
  <c r="G73" i="19"/>
  <c r="I72" i="19"/>
  <c r="G72" i="19"/>
  <c r="I71" i="19"/>
  <c r="G71" i="19"/>
  <c r="I70" i="19"/>
  <c r="G70" i="19"/>
  <c r="I69" i="19"/>
  <c r="G69" i="19"/>
  <c r="I68" i="19"/>
  <c r="G68" i="19"/>
  <c r="I67" i="19"/>
  <c r="G67" i="19"/>
  <c r="I66" i="19"/>
  <c r="G66" i="19"/>
  <c r="I65" i="19"/>
  <c r="G65" i="19"/>
  <c r="I64" i="19"/>
  <c r="G64" i="19"/>
  <c r="I63" i="19"/>
  <c r="G63" i="19"/>
  <c r="I62" i="19"/>
  <c r="G62" i="19"/>
  <c r="I61" i="19"/>
  <c r="G61" i="19"/>
  <c r="I60" i="19"/>
  <c r="G60" i="19"/>
  <c r="I59" i="19"/>
  <c r="G59" i="19"/>
  <c r="I58" i="19"/>
  <c r="G58" i="19"/>
  <c r="I57" i="19"/>
  <c r="G57" i="19"/>
  <c r="I56" i="19"/>
  <c r="G56" i="19"/>
  <c r="I55" i="19"/>
  <c r="G55" i="19"/>
  <c r="I54" i="19"/>
  <c r="G54" i="19"/>
  <c r="I53" i="19"/>
  <c r="G53" i="19"/>
  <c r="I52" i="19"/>
  <c r="G52" i="19"/>
  <c r="I51" i="19"/>
  <c r="G51" i="19"/>
  <c r="I50" i="19"/>
  <c r="G50" i="19"/>
  <c r="I49" i="19"/>
  <c r="G49" i="19"/>
  <c r="I48" i="19"/>
  <c r="G48" i="19"/>
  <c r="I47" i="19"/>
  <c r="G47" i="19"/>
  <c r="I46" i="19"/>
  <c r="G46" i="19"/>
  <c r="I45" i="19"/>
  <c r="G45" i="19"/>
  <c r="I44" i="19"/>
  <c r="G44" i="19"/>
  <c r="I43" i="19"/>
  <c r="G43" i="19"/>
  <c r="I42" i="19"/>
  <c r="G42" i="19"/>
  <c r="I41" i="19"/>
  <c r="G41" i="19"/>
  <c r="I39" i="19"/>
  <c r="G39" i="19"/>
  <c r="I38" i="19"/>
  <c r="G38" i="19"/>
  <c r="I37" i="19"/>
  <c r="G37" i="19"/>
  <c r="I36" i="19"/>
  <c r="G36" i="19"/>
  <c r="I35" i="19"/>
  <c r="G35" i="19"/>
  <c r="I34" i="19"/>
  <c r="G34" i="19"/>
  <c r="I33" i="19"/>
  <c r="G33" i="19"/>
  <c r="I32" i="19"/>
  <c r="G32" i="19"/>
  <c r="I31" i="19"/>
  <c r="G31" i="19"/>
  <c r="I30" i="19"/>
  <c r="G30" i="19"/>
  <c r="I29" i="19"/>
  <c r="G29" i="19"/>
  <c r="I28" i="19"/>
  <c r="G28" i="19"/>
  <c r="I27" i="19"/>
  <c r="G27" i="19"/>
  <c r="I26" i="19"/>
  <c r="G26" i="19"/>
  <c r="I25" i="19"/>
  <c r="G25" i="19"/>
  <c r="I24" i="19"/>
  <c r="G24" i="19"/>
  <c r="I23" i="19"/>
  <c r="G23" i="19"/>
  <c r="I22" i="19"/>
  <c r="G22" i="19"/>
  <c r="I21" i="19"/>
  <c r="G21" i="19"/>
  <c r="I20" i="19"/>
  <c r="G20" i="19"/>
  <c r="I19" i="19"/>
  <c r="G19" i="19"/>
  <c r="I18" i="19"/>
  <c r="G18" i="19"/>
  <c r="I17" i="19"/>
  <c r="G17" i="19"/>
  <c r="I16" i="19"/>
  <c r="G16" i="19"/>
  <c r="I15" i="19"/>
  <c r="G15" i="19"/>
  <c r="I14" i="19"/>
  <c r="G14" i="19"/>
  <c r="I13" i="19"/>
  <c r="G13" i="19"/>
  <c r="I12" i="19"/>
  <c r="G12" i="19"/>
  <c r="I11" i="19"/>
  <c r="G11" i="19"/>
  <c r="I10" i="19"/>
  <c r="G10" i="19"/>
  <c r="I9" i="19"/>
  <c r="G9" i="19"/>
  <c r="I8" i="19"/>
  <c r="G8" i="19"/>
  <c r="I7" i="19"/>
  <c r="G7" i="19"/>
  <c r="I6" i="19"/>
  <c r="G6" i="19"/>
  <c r="I5" i="19"/>
  <c r="G5" i="19"/>
  <c r="I4" i="19"/>
  <c r="G4" i="19"/>
  <c r="I3" i="19"/>
  <c r="I151" i="18"/>
  <c r="G151" i="18"/>
  <c r="I153" i="18"/>
  <c r="G153" i="18"/>
  <c r="I152" i="18"/>
  <c r="G152" i="18"/>
  <c r="I150" i="18"/>
  <c r="G150" i="18"/>
  <c r="I149" i="18"/>
  <c r="G149" i="18"/>
  <c r="I148" i="18"/>
  <c r="G148" i="18"/>
  <c r="I147" i="18"/>
  <c r="G147" i="18"/>
  <c r="I146" i="18"/>
  <c r="G146" i="18"/>
  <c r="I145" i="18"/>
  <c r="G145" i="18"/>
  <c r="I142" i="18"/>
  <c r="G142" i="18"/>
  <c r="I141" i="18"/>
  <c r="G141" i="18"/>
  <c r="I139" i="18"/>
  <c r="G139" i="18"/>
  <c r="I138" i="18"/>
  <c r="G138" i="18"/>
  <c r="I137" i="18"/>
  <c r="G137" i="18"/>
  <c r="I136" i="18"/>
  <c r="G136" i="18"/>
  <c r="I134" i="18"/>
  <c r="G134" i="18"/>
  <c r="I133" i="18"/>
  <c r="G133" i="18"/>
  <c r="I132" i="18"/>
  <c r="G132" i="18"/>
  <c r="I131" i="18"/>
  <c r="G131" i="18"/>
  <c r="I130" i="18"/>
  <c r="G130" i="18"/>
  <c r="I129" i="18"/>
  <c r="G129" i="18"/>
  <c r="I128" i="18"/>
  <c r="G128" i="18"/>
  <c r="I127" i="18"/>
  <c r="G127" i="18"/>
  <c r="I126" i="18"/>
  <c r="G126" i="18"/>
  <c r="I125" i="18"/>
  <c r="G125" i="18"/>
  <c r="I124" i="18"/>
  <c r="G124" i="18"/>
  <c r="I123" i="18"/>
  <c r="G123" i="18"/>
  <c r="I122" i="18"/>
  <c r="G122" i="18"/>
  <c r="I121" i="18"/>
  <c r="G121" i="18"/>
  <c r="I120" i="18"/>
  <c r="G120" i="18"/>
  <c r="I119" i="18"/>
  <c r="G119" i="18"/>
  <c r="I118" i="18"/>
  <c r="G118" i="18"/>
  <c r="I117" i="18"/>
  <c r="G117" i="18"/>
  <c r="I116" i="18"/>
  <c r="G116" i="18"/>
  <c r="I115" i="18"/>
  <c r="G115" i="18"/>
  <c r="I114" i="18"/>
  <c r="G114" i="18"/>
  <c r="I113" i="18"/>
  <c r="G113" i="18"/>
  <c r="I112" i="18"/>
  <c r="G112" i="18"/>
  <c r="I111" i="18"/>
  <c r="G111" i="18"/>
  <c r="I110" i="18"/>
  <c r="G110" i="18"/>
  <c r="I109" i="18"/>
  <c r="G109" i="18"/>
  <c r="I108" i="18"/>
  <c r="G108" i="18"/>
  <c r="I107" i="18"/>
  <c r="G107" i="18"/>
  <c r="I106" i="18"/>
  <c r="G106" i="18"/>
  <c r="I105" i="18"/>
  <c r="G105" i="18"/>
  <c r="I104" i="18"/>
  <c r="G104" i="18"/>
  <c r="I103" i="18"/>
  <c r="G103" i="18"/>
  <c r="I102" i="18"/>
  <c r="G102" i="18"/>
  <c r="I101" i="18"/>
  <c r="G101" i="18"/>
  <c r="I100" i="18"/>
  <c r="G100" i="18"/>
  <c r="I99" i="18"/>
  <c r="G99" i="18"/>
  <c r="I98" i="18"/>
  <c r="G98" i="18"/>
  <c r="I97" i="18"/>
  <c r="G97" i="18"/>
  <c r="I96" i="18"/>
  <c r="G96" i="18"/>
  <c r="I95" i="18"/>
  <c r="G95" i="18"/>
  <c r="I94" i="18"/>
  <c r="G94" i="18"/>
  <c r="I93" i="18"/>
  <c r="G93" i="18"/>
  <c r="I92" i="18"/>
  <c r="G92" i="18"/>
  <c r="I91" i="18"/>
  <c r="G91" i="18"/>
  <c r="I90" i="18"/>
  <c r="G90" i="18"/>
  <c r="I89" i="18"/>
  <c r="G89" i="18"/>
  <c r="I88" i="18"/>
  <c r="G88" i="18"/>
  <c r="I87" i="18"/>
  <c r="G87" i="18"/>
  <c r="I86" i="18"/>
  <c r="G86" i="18"/>
  <c r="I85" i="18"/>
  <c r="G85" i="18"/>
  <c r="I84" i="18"/>
  <c r="G84" i="18"/>
  <c r="I83" i="18"/>
  <c r="G83" i="18"/>
  <c r="I82" i="18"/>
  <c r="G82" i="18"/>
  <c r="I81" i="18"/>
  <c r="G81" i="18"/>
  <c r="I80" i="18"/>
  <c r="G80" i="18"/>
  <c r="I79" i="18"/>
  <c r="G79" i="18"/>
  <c r="I78" i="18"/>
  <c r="G78" i="18"/>
  <c r="I77" i="18"/>
  <c r="G77" i="18"/>
  <c r="I76" i="18"/>
  <c r="G76" i="18"/>
  <c r="I75" i="18"/>
  <c r="G75" i="18"/>
  <c r="I74" i="18"/>
  <c r="G74" i="18"/>
  <c r="I73" i="18"/>
  <c r="G73" i="18"/>
  <c r="I72" i="18"/>
  <c r="G72" i="18"/>
  <c r="I71" i="18"/>
  <c r="G71" i="18"/>
  <c r="I70" i="18"/>
  <c r="G70" i="18"/>
  <c r="I69" i="18"/>
  <c r="G69" i="18"/>
  <c r="I68" i="18"/>
  <c r="G68" i="18"/>
  <c r="I67" i="18"/>
  <c r="G67" i="18"/>
  <c r="I66" i="18"/>
  <c r="G66" i="18"/>
  <c r="I65" i="18"/>
  <c r="G65" i="18"/>
  <c r="I64" i="18"/>
  <c r="G64" i="18"/>
  <c r="I63" i="18"/>
  <c r="G63" i="18"/>
  <c r="I62" i="18"/>
  <c r="G62" i="18"/>
  <c r="I61" i="18"/>
  <c r="G61" i="18"/>
  <c r="I60" i="18"/>
  <c r="G60" i="18"/>
  <c r="I59" i="18"/>
  <c r="G59" i="18"/>
  <c r="I58" i="18"/>
  <c r="G58" i="18"/>
  <c r="I57" i="18"/>
  <c r="G57" i="18"/>
  <c r="I56" i="18"/>
  <c r="G56" i="18"/>
  <c r="I55" i="18"/>
  <c r="G55" i="18"/>
  <c r="I54" i="18"/>
  <c r="G54" i="18"/>
  <c r="I53" i="18"/>
  <c r="G53" i="18"/>
  <c r="I52" i="18"/>
  <c r="G52" i="18"/>
  <c r="I51" i="18"/>
  <c r="G51" i="18"/>
  <c r="I50" i="18"/>
  <c r="G50" i="18"/>
  <c r="I49" i="18"/>
  <c r="G49" i="18"/>
  <c r="I48" i="18"/>
  <c r="G48" i="18"/>
  <c r="I47" i="18"/>
  <c r="G47" i="18"/>
  <c r="I46" i="18"/>
  <c r="G46" i="18"/>
  <c r="I45" i="18"/>
  <c r="G45" i="18"/>
  <c r="I44" i="18"/>
  <c r="G44" i="18"/>
  <c r="I43" i="18"/>
  <c r="G43" i="18"/>
  <c r="I42" i="18"/>
  <c r="G42" i="18"/>
  <c r="I41" i="18"/>
  <c r="G41" i="18"/>
  <c r="I40" i="18"/>
  <c r="G40" i="18"/>
  <c r="I39" i="18"/>
  <c r="G39" i="18"/>
  <c r="I38" i="18"/>
  <c r="G38" i="18"/>
  <c r="I37" i="18"/>
  <c r="G37" i="18"/>
  <c r="I36" i="18"/>
  <c r="G36" i="18"/>
  <c r="I35" i="18"/>
  <c r="G35" i="18"/>
  <c r="I34" i="18"/>
  <c r="G34" i="18"/>
  <c r="I33" i="18"/>
  <c r="G33" i="18"/>
  <c r="I32" i="18"/>
  <c r="G32" i="18"/>
  <c r="I31" i="18"/>
  <c r="G31" i="18"/>
  <c r="I30" i="18"/>
  <c r="G30" i="18"/>
  <c r="I29" i="18"/>
  <c r="G29" i="18"/>
  <c r="I28" i="18"/>
  <c r="G28" i="18"/>
  <c r="I27" i="18"/>
  <c r="G27" i="18"/>
  <c r="I26" i="18"/>
  <c r="G26" i="18"/>
  <c r="I25" i="18"/>
  <c r="G25" i="18"/>
  <c r="I24" i="18"/>
  <c r="G24" i="18"/>
  <c r="I23" i="18"/>
  <c r="G23" i="18"/>
  <c r="I22" i="18"/>
  <c r="G22" i="18"/>
  <c r="I21" i="18"/>
  <c r="G21" i="18"/>
  <c r="I20" i="18"/>
  <c r="G20" i="18"/>
  <c r="I19" i="18"/>
  <c r="G19" i="18"/>
  <c r="I18" i="18"/>
  <c r="G18" i="18"/>
  <c r="I17" i="18"/>
  <c r="G17" i="18"/>
  <c r="I16" i="18"/>
  <c r="G16" i="18"/>
  <c r="I15" i="18"/>
  <c r="G15" i="18"/>
  <c r="I14" i="18"/>
  <c r="G14" i="18"/>
  <c r="I13" i="18"/>
  <c r="G13" i="18"/>
  <c r="I12" i="18"/>
  <c r="G12" i="18"/>
  <c r="I11" i="18"/>
  <c r="G11" i="18"/>
  <c r="I10" i="18"/>
  <c r="G10" i="18"/>
  <c r="I9" i="18"/>
  <c r="G9" i="18"/>
  <c r="I8" i="18"/>
  <c r="G8" i="18"/>
  <c r="I7" i="18"/>
  <c r="G7" i="18"/>
  <c r="I6" i="18"/>
  <c r="G6" i="18"/>
  <c r="I5" i="18"/>
  <c r="G5" i="18"/>
  <c r="I4" i="18"/>
  <c r="G4" i="18"/>
  <c r="I3" i="18"/>
  <c r="G3" i="18"/>
  <c r="G119" i="17" l="1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6" i="17"/>
  <c r="G137" i="17"/>
  <c r="G138" i="17"/>
  <c r="G139" i="17"/>
  <c r="G141" i="17"/>
  <c r="G142" i="17"/>
  <c r="G145" i="17"/>
  <c r="G146" i="17"/>
  <c r="G147" i="17"/>
  <c r="G148" i="17"/>
  <c r="I148" i="17"/>
  <c r="I128" i="17"/>
  <c r="I129" i="17"/>
  <c r="I130" i="17"/>
  <c r="I131" i="17"/>
  <c r="I132" i="17"/>
  <c r="I133" i="17"/>
  <c r="I134" i="17"/>
  <c r="I136" i="17"/>
  <c r="I137" i="17"/>
  <c r="I138" i="17"/>
  <c r="I139" i="17"/>
  <c r="I141" i="17"/>
  <c r="I142" i="17"/>
  <c r="I145" i="17"/>
  <c r="I146" i="17"/>
  <c r="I147" i="17"/>
  <c r="I122" i="17"/>
  <c r="I123" i="17"/>
  <c r="I124" i="17"/>
  <c r="I125" i="17"/>
  <c r="I126" i="17"/>
  <c r="I127" i="17"/>
  <c r="I115" i="17"/>
  <c r="I116" i="17"/>
  <c r="I117" i="17"/>
  <c r="I118" i="17"/>
  <c r="I119" i="17"/>
  <c r="I120" i="17"/>
  <c r="I121" i="17"/>
  <c r="G118" i="17"/>
  <c r="G117" i="17"/>
  <c r="G116" i="17"/>
  <c r="G109" i="17"/>
  <c r="G110" i="17"/>
  <c r="G111" i="17"/>
  <c r="G112" i="17"/>
  <c r="G113" i="17"/>
  <c r="G114" i="17"/>
  <c r="G115" i="17"/>
  <c r="I109" i="17"/>
  <c r="I110" i="17"/>
  <c r="I111" i="17"/>
  <c r="I112" i="17"/>
  <c r="I113" i="17"/>
  <c r="I114" i="17"/>
  <c r="I108" i="17"/>
  <c r="I107" i="17"/>
  <c r="G108" i="17"/>
  <c r="G107" i="17"/>
  <c r="G94" i="17" l="1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89" i="17"/>
  <c r="I90" i="17"/>
  <c r="I91" i="17"/>
  <c r="I92" i="17"/>
  <c r="I93" i="17"/>
  <c r="G89" i="17"/>
  <c r="G90" i="17"/>
  <c r="G91" i="17"/>
  <c r="G92" i="17"/>
  <c r="G93" i="17"/>
  <c r="I87" i="17"/>
  <c r="I88" i="17"/>
  <c r="G86" i="17"/>
  <c r="G87" i="17"/>
  <c r="G88" i="17"/>
  <c r="I84" i="17"/>
  <c r="I85" i="17"/>
  <c r="I86" i="17"/>
  <c r="G84" i="17"/>
  <c r="G85" i="17"/>
  <c r="G79" i="17"/>
  <c r="G80" i="17"/>
  <c r="G81" i="17"/>
  <c r="G82" i="17"/>
  <c r="G83" i="17"/>
  <c r="I79" i="17"/>
  <c r="I80" i="17"/>
  <c r="I81" i="17"/>
  <c r="I82" i="17"/>
  <c r="I83" i="17"/>
  <c r="I76" i="17"/>
  <c r="I77" i="17"/>
  <c r="I78" i="17"/>
  <c r="G77" i="17"/>
  <c r="G78" i="17"/>
  <c r="G76" i="17"/>
  <c r="G72" i="17"/>
  <c r="G73" i="17"/>
  <c r="G74" i="17"/>
  <c r="G75" i="17"/>
  <c r="G71" i="17"/>
  <c r="G70" i="17"/>
  <c r="G68" i="17"/>
  <c r="G69" i="17"/>
  <c r="I75" i="17" l="1"/>
  <c r="I74" i="17"/>
  <c r="I73" i="17"/>
  <c r="I72" i="17"/>
  <c r="I71" i="17"/>
  <c r="I70" i="17"/>
  <c r="I69" i="17"/>
  <c r="I68" i="17"/>
  <c r="I67" i="17"/>
  <c r="G67" i="17"/>
  <c r="I66" i="17"/>
  <c r="G66" i="17"/>
  <c r="I65" i="17"/>
  <c r="G65" i="17"/>
  <c r="I64" i="17"/>
  <c r="G64" i="17"/>
  <c r="I63" i="17"/>
  <c r="G63" i="17"/>
  <c r="I62" i="17"/>
  <c r="G62" i="17"/>
  <c r="I61" i="17"/>
  <c r="G61" i="17"/>
  <c r="I60" i="17"/>
  <c r="G60" i="17"/>
  <c r="I59" i="17"/>
  <c r="G59" i="17"/>
  <c r="I58" i="17"/>
  <c r="G58" i="17"/>
  <c r="I57" i="17" l="1"/>
  <c r="G57" i="17"/>
  <c r="I56" i="17"/>
  <c r="G56" i="17"/>
  <c r="I55" i="17"/>
  <c r="G55" i="17"/>
  <c r="I54" i="17"/>
  <c r="G54" i="17"/>
  <c r="I53" i="17"/>
  <c r="G53" i="17"/>
  <c r="I52" i="17"/>
  <c r="G52" i="17"/>
  <c r="I51" i="17"/>
  <c r="G51" i="17"/>
  <c r="I50" i="17"/>
  <c r="G50" i="17"/>
  <c r="I49" i="17"/>
  <c r="G49" i="17"/>
  <c r="I48" i="17"/>
  <c r="G48" i="17"/>
  <c r="I47" i="17"/>
  <c r="G47" i="17"/>
  <c r="I46" i="17"/>
  <c r="G46" i="17"/>
  <c r="I45" i="17"/>
  <c r="G45" i="17"/>
  <c r="I44" i="17"/>
  <c r="G44" i="17"/>
  <c r="I43" i="17"/>
  <c r="G43" i="17"/>
  <c r="I42" i="17"/>
  <c r="G42" i="17"/>
  <c r="I41" i="17"/>
  <c r="G41" i="17"/>
  <c r="I40" i="17"/>
  <c r="G40" i="17"/>
  <c r="I39" i="17" l="1"/>
  <c r="G39" i="17"/>
  <c r="I38" i="17"/>
  <c r="G38" i="17"/>
  <c r="I37" i="17"/>
  <c r="G37" i="17"/>
  <c r="I36" i="17"/>
  <c r="G36" i="17"/>
  <c r="I35" i="17"/>
  <c r="G35" i="17"/>
  <c r="I34" i="17"/>
  <c r="G34" i="17"/>
  <c r="I33" i="17"/>
  <c r="G33" i="17"/>
  <c r="I32" i="17"/>
  <c r="G32" i="17"/>
  <c r="I31" i="17"/>
  <c r="G31" i="17"/>
  <c r="I30" i="17"/>
  <c r="G30" i="17"/>
  <c r="I29" i="17"/>
  <c r="G29" i="17"/>
  <c r="I28" i="17"/>
  <c r="G28" i="17"/>
  <c r="I27" i="17"/>
  <c r="G27" i="17"/>
  <c r="I26" i="17"/>
  <c r="G26" i="17"/>
  <c r="I25" i="17"/>
  <c r="G25" i="17"/>
  <c r="I24" i="17"/>
  <c r="G24" i="17"/>
  <c r="I23" i="17"/>
  <c r="G23" i="17"/>
  <c r="I22" i="17"/>
  <c r="G22" i="17"/>
  <c r="I21" i="17"/>
  <c r="G21" i="17"/>
  <c r="I20" i="17"/>
  <c r="G20" i="17"/>
  <c r="I19" i="17"/>
  <c r="G19" i="17"/>
  <c r="I18" i="17"/>
  <c r="G18" i="17"/>
  <c r="I17" i="17"/>
  <c r="G17" i="17"/>
  <c r="I16" i="17"/>
  <c r="G16" i="17"/>
  <c r="I15" i="17"/>
  <c r="G15" i="17"/>
  <c r="I14" i="17"/>
  <c r="G14" i="17"/>
  <c r="I13" i="17"/>
  <c r="G13" i="17"/>
  <c r="I12" i="17"/>
  <c r="G12" i="17"/>
  <c r="I11" i="17"/>
  <c r="G11" i="17"/>
  <c r="I10" i="17"/>
  <c r="G10" i="17"/>
  <c r="I9" i="17"/>
  <c r="G9" i="17"/>
  <c r="I8" i="17"/>
  <c r="G8" i="17"/>
  <c r="I7" i="17"/>
  <c r="G7" i="17"/>
  <c r="I6" i="17"/>
  <c r="G6" i="17"/>
  <c r="I5" i="17"/>
  <c r="G5" i="17"/>
  <c r="I4" i="17"/>
  <c r="G4" i="17"/>
  <c r="I3" i="17"/>
  <c r="G3" i="17"/>
  <c r="K100" i="16" l="1"/>
  <c r="M37" i="16"/>
  <c r="F100" i="16" l="1"/>
  <c r="F99" i="16"/>
  <c r="F97" i="16"/>
  <c r="F98" i="16"/>
  <c r="F24" i="16"/>
  <c r="K33" i="16" l="1"/>
  <c r="F33" i="16"/>
  <c r="K24" i="16"/>
  <c r="K20" i="16" l="1"/>
  <c r="F20" i="16"/>
  <c r="K93" i="16"/>
  <c r="F93" i="16"/>
  <c r="K92" i="16"/>
  <c r="F92" i="16"/>
  <c r="K91" i="16"/>
  <c r="F91" i="16"/>
  <c r="K90" i="16"/>
  <c r="F90" i="16"/>
  <c r="K89" i="16"/>
  <c r="F89" i="16"/>
  <c r="K88" i="16"/>
  <c r="F88" i="16"/>
  <c r="K87" i="16"/>
  <c r="F87" i="16"/>
  <c r="K86" i="16"/>
  <c r="F86" i="16"/>
  <c r="K85" i="16"/>
  <c r="F85" i="16"/>
  <c r="K84" i="16"/>
  <c r="F84" i="16"/>
  <c r="K83" i="16"/>
  <c r="F83" i="16"/>
  <c r="K19" i="16"/>
  <c r="F19" i="16"/>
  <c r="K82" i="16"/>
  <c r="F82" i="16"/>
  <c r="K81" i="16"/>
  <c r="F81" i="16"/>
  <c r="K80" i="16"/>
  <c r="F80" i="16"/>
  <c r="K79" i="16"/>
  <c r="F79" i="16"/>
  <c r="K78" i="16"/>
  <c r="F78" i="16"/>
  <c r="K77" i="16"/>
  <c r="F77" i="16"/>
  <c r="K76" i="16"/>
  <c r="F76" i="16"/>
  <c r="K75" i="16"/>
  <c r="F75" i="16"/>
  <c r="K74" i="16"/>
  <c r="F74" i="16"/>
  <c r="K73" i="16"/>
  <c r="F73" i="16"/>
  <c r="K72" i="16"/>
  <c r="F72" i="16"/>
  <c r="K71" i="16"/>
  <c r="F71" i="16"/>
  <c r="K70" i="16"/>
  <c r="F70" i="16"/>
  <c r="K69" i="16"/>
  <c r="F69" i="16"/>
  <c r="K68" i="16"/>
  <c r="F68" i="16"/>
  <c r="K67" i="16"/>
  <c r="F67" i="16"/>
  <c r="K21" i="16"/>
  <c r="F21" i="16"/>
  <c r="K66" i="16"/>
  <c r="F66" i="16"/>
  <c r="K65" i="16"/>
  <c r="F65" i="16"/>
  <c r="K64" i="16"/>
  <c r="F64" i="16"/>
  <c r="K63" i="16"/>
  <c r="F63" i="16"/>
  <c r="K62" i="16"/>
  <c r="F62" i="16"/>
  <c r="K61" i="16"/>
  <c r="F61" i="16"/>
  <c r="K60" i="16"/>
  <c r="F60" i="16"/>
  <c r="K59" i="16"/>
  <c r="F59" i="16"/>
  <c r="K58" i="16"/>
  <c r="F58" i="16"/>
  <c r="K57" i="16"/>
  <c r="F57" i="16"/>
  <c r="K56" i="16"/>
  <c r="F56" i="16"/>
  <c r="K55" i="16"/>
  <c r="F55" i="16"/>
  <c r="K54" i="16"/>
  <c r="F54" i="16"/>
  <c r="K53" i="16"/>
  <c r="F53" i="16"/>
  <c r="K52" i="16"/>
  <c r="F52" i="16"/>
  <c r="K51" i="16"/>
  <c r="F51" i="16"/>
  <c r="K50" i="16"/>
  <c r="F50" i="16"/>
  <c r="K49" i="16"/>
  <c r="F49" i="16"/>
  <c r="K48" i="16"/>
  <c r="F48" i="16"/>
  <c r="K47" i="16"/>
  <c r="F47" i="16"/>
  <c r="K46" i="16"/>
  <c r="F46" i="16"/>
  <c r="K45" i="16"/>
  <c r="F45" i="16"/>
  <c r="K44" i="16"/>
  <c r="F44" i="16"/>
  <c r="K43" i="16"/>
  <c r="F43" i="16"/>
  <c r="K42" i="16"/>
  <c r="F42" i="16"/>
  <c r="K41" i="16"/>
  <c r="F41" i="16"/>
  <c r="K40" i="16"/>
  <c r="F40" i="16"/>
  <c r="K39" i="16"/>
  <c r="F39" i="16"/>
  <c r="K38" i="16"/>
  <c r="F38" i="16"/>
  <c r="K18" i="16"/>
  <c r="F18" i="16"/>
  <c r="K17" i="16"/>
  <c r="F17" i="16"/>
  <c r="K37" i="16"/>
  <c r="F37" i="16"/>
  <c r="K36" i="16"/>
  <c r="F36" i="16"/>
  <c r="K35" i="16"/>
  <c r="F35" i="16"/>
  <c r="K31" i="16"/>
  <c r="F31" i="16"/>
  <c r="K34" i="16"/>
  <c r="F34" i="16"/>
  <c r="K12" i="16"/>
  <c r="F12" i="16"/>
  <c r="K32" i="16"/>
  <c r="F32" i="16"/>
  <c r="K30" i="16"/>
  <c r="F30" i="16"/>
  <c r="K29" i="16"/>
  <c r="F29" i="16"/>
  <c r="K28" i="16"/>
  <c r="F28" i="16"/>
  <c r="K27" i="16"/>
  <c r="F27" i="16"/>
  <c r="K26" i="16"/>
  <c r="K16" i="16"/>
  <c r="F16" i="16"/>
  <c r="K13" i="16"/>
  <c r="F13" i="16"/>
  <c r="K11" i="16"/>
  <c r="F11" i="16"/>
  <c r="K25" i="16"/>
  <c r="F25" i="16"/>
  <c r="K14" i="16"/>
  <c r="F14" i="16"/>
  <c r="K23" i="16"/>
  <c r="F23" i="16"/>
  <c r="K22" i="16"/>
  <c r="F22" i="16"/>
  <c r="K15" i="16"/>
  <c r="F15" i="16"/>
  <c r="K10" i="16"/>
  <c r="F10" i="16"/>
  <c r="K9" i="16"/>
  <c r="F9" i="16"/>
  <c r="K8" i="16"/>
  <c r="F8" i="16"/>
  <c r="K7" i="16"/>
  <c r="F7" i="16"/>
  <c r="K6" i="16"/>
  <c r="F6" i="16"/>
  <c r="K5" i="16"/>
  <c r="F5" i="16"/>
  <c r="K4" i="16"/>
  <c r="F4" i="16"/>
  <c r="K3" i="16"/>
  <c r="F3" i="16"/>
  <c r="K90" i="15"/>
  <c r="F90" i="15"/>
  <c r="K80" i="15"/>
  <c r="F80" i="15"/>
  <c r="K78" i="15"/>
  <c r="F78" i="15"/>
  <c r="K71" i="15"/>
  <c r="F71" i="15"/>
  <c r="K70" i="15"/>
  <c r="F70" i="15"/>
  <c r="K53" i="15"/>
  <c r="F53" i="15"/>
  <c r="K63" i="15"/>
  <c r="F63" i="15"/>
  <c r="K60" i="15"/>
  <c r="K59" i="15"/>
  <c r="F60" i="15"/>
  <c r="F59" i="15"/>
  <c r="K62" i="15"/>
  <c r="F62" i="15"/>
  <c r="K61" i="15"/>
  <c r="F61" i="15"/>
  <c r="K45" i="15"/>
  <c r="F45" i="15"/>
  <c r="F29" i="15" l="1"/>
  <c r="K29" i="15"/>
  <c r="K27" i="15"/>
  <c r="F27" i="15"/>
  <c r="K25" i="15"/>
  <c r="F25" i="15"/>
  <c r="K9" i="15" l="1"/>
  <c r="K44" i="15"/>
  <c r="F44" i="15"/>
  <c r="K43" i="15"/>
  <c r="F43" i="15"/>
  <c r="K42" i="15"/>
  <c r="F42" i="15"/>
  <c r="K92" i="15"/>
  <c r="F92" i="15"/>
  <c r="K91" i="15"/>
  <c r="F91" i="15"/>
  <c r="K89" i="15"/>
  <c r="F89" i="15"/>
  <c r="K88" i="15"/>
  <c r="F88" i="15"/>
  <c r="K87" i="15"/>
  <c r="F87" i="15"/>
  <c r="K86" i="15"/>
  <c r="F86" i="15"/>
  <c r="K85" i="15"/>
  <c r="F85" i="15"/>
  <c r="K84" i="15"/>
  <c r="F84" i="15"/>
  <c r="K83" i="15"/>
  <c r="F83" i="15"/>
  <c r="K82" i="15"/>
  <c r="F82" i="15"/>
  <c r="K79" i="15"/>
  <c r="F79" i="15"/>
  <c r="K77" i="15"/>
  <c r="F77" i="15"/>
  <c r="K76" i="15"/>
  <c r="F76" i="15"/>
  <c r="K75" i="15"/>
  <c r="F75" i="15"/>
  <c r="K74" i="15"/>
  <c r="F74" i="15"/>
  <c r="K73" i="15"/>
  <c r="F73" i="15"/>
  <c r="K72" i="15"/>
  <c r="F72" i="15"/>
  <c r="K69" i="15"/>
  <c r="F69" i="15"/>
  <c r="K68" i="15"/>
  <c r="F68" i="15"/>
  <c r="K67" i="15"/>
  <c r="F67" i="15"/>
  <c r="K66" i="15"/>
  <c r="F66" i="15"/>
  <c r="K65" i="15"/>
  <c r="F65" i="15"/>
  <c r="K64" i="15"/>
  <c r="F64" i="15"/>
  <c r="K58" i="15"/>
  <c r="F58" i="15"/>
  <c r="K57" i="15"/>
  <c r="F57" i="15"/>
  <c r="K56" i="15"/>
  <c r="F56" i="15"/>
  <c r="K55" i="15"/>
  <c r="F55" i="15"/>
  <c r="K54" i="15"/>
  <c r="F54" i="15"/>
  <c r="K52" i="15"/>
  <c r="F52" i="15"/>
  <c r="K51" i="15"/>
  <c r="F51" i="15"/>
  <c r="K50" i="15"/>
  <c r="F50" i="15"/>
  <c r="K49" i="15"/>
  <c r="F49" i="15"/>
  <c r="K48" i="15"/>
  <c r="F48" i="15"/>
  <c r="K47" i="15"/>
  <c r="F47" i="15"/>
  <c r="K46" i="15"/>
  <c r="F46" i="15"/>
  <c r="K41" i="15"/>
  <c r="F41" i="15"/>
  <c r="K40" i="15"/>
  <c r="F40" i="15"/>
  <c r="K39" i="15"/>
  <c r="F39" i="15"/>
  <c r="K38" i="15"/>
  <c r="F38" i="15"/>
  <c r="K37" i="15"/>
  <c r="F37" i="15"/>
  <c r="K36" i="15"/>
  <c r="F36" i="15"/>
  <c r="K35" i="15"/>
  <c r="F35" i="15"/>
  <c r="K34" i="15"/>
  <c r="F34" i="15"/>
  <c r="K10" i="15"/>
  <c r="F10" i="15"/>
  <c r="K33" i="15"/>
  <c r="F33" i="15"/>
  <c r="K32" i="15"/>
  <c r="F32" i="15"/>
  <c r="K81" i="15"/>
  <c r="F81" i="15"/>
  <c r="K31" i="15"/>
  <c r="F31" i="15"/>
  <c r="K30" i="15"/>
  <c r="F30" i="15"/>
  <c r="K28" i="15"/>
  <c r="F28" i="15"/>
  <c r="K23" i="15"/>
  <c r="F23" i="15"/>
  <c r="K22" i="15"/>
  <c r="F22" i="15"/>
  <c r="K21" i="15"/>
  <c r="F21" i="15"/>
  <c r="K24" i="15"/>
  <c r="F24" i="15"/>
  <c r="K20" i="15"/>
  <c r="F20" i="15"/>
  <c r="K19" i="15"/>
  <c r="F19" i="15"/>
  <c r="K18" i="15"/>
  <c r="F18" i="15"/>
  <c r="K26" i="15"/>
  <c r="F26" i="15"/>
  <c r="K17" i="15"/>
  <c r="F17" i="15"/>
  <c r="K16" i="15"/>
  <c r="F16" i="15"/>
  <c r="K15" i="15"/>
  <c r="F15" i="15"/>
  <c r="K14" i="15"/>
  <c r="F14" i="15"/>
  <c r="K13" i="15"/>
  <c r="F13" i="15"/>
  <c r="K12" i="15"/>
  <c r="F12" i="15"/>
  <c r="K11" i="15"/>
  <c r="F11" i="15"/>
  <c r="F9" i="15"/>
  <c r="K8" i="15"/>
  <c r="F8" i="15"/>
  <c r="K7" i="15"/>
  <c r="F7" i="15"/>
  <c r="K4" i="15"/>
  <c r="F4" i="15"/>
  <c r="K6" i="15"/>
  <c r="F6" i="15"/>
  <c r="K5" i="15"/>
  <c r="F5" i="15"/>
  <c r="K3" i="15"/>
  <c r="F3" i="15"/>
  <c r="K33" i="14" l="1"/>
  <c r="F33" i="14"/>
  <c r="K74" i="14"/>
  <c r="F74" i="14"/>
  <c r="K26" i="14"/>
  <c r="F26" i="14"/>
  <c r="K82" i="14"/>
  <c r="F82" i="14"/>
  <c r="K81" i="14"/>
  <c r="F81" i="14"/>
  <c r="K80" i="14"/>
  <c r="F80" i="14"/>
  <c r="K79" i="14"/>
  <c r="F79" i="14"/>
  <c r="K78" i="14"/>
  <c r="F78" i="14"/>
  <c r="K77" i="14"/>
  <c r="F77" i="14"/>
  <c r="K76" i="14"/>
  <c r="F76" i="14"/>
  <c r="K75" i="14"/>
  <c r="F75" i="14"/>
  <c r="K73" i="14"/>
  <c r="F73" i="14"/>
  <c r="K72" i="14"/>
  <c r="F72" i="14"/>
  <c r="K71" i="14"/>
  <c r="F71" i="14"/>
  <c r="K70" i="14"/>
  <c r="F70" i="14"/>
  <c r="K69" i="14"/>
  <c r="F69" i="14"/>
  <c r="K68" i="14"/>
  <c r="F68" i="14"/>
  <c r="K67" i="14"/>
  <c r="F67" i="14"/>
  <c r="K66" i="14"/>
  <c r="F66" i="14"/>
  <c r="K65" i="14"/>
  <c r="F65" i="14"/>
  <c r="K64" i="14"/>
  <c r="F64" i="14"/>
  <c r="K63" i="14"/>
  <c r="F63" i="14"/>
  <c r="K62" i="14"/>
  <c r="F62" i="14"/>
  <c r="K61" i="14"/>
  <c r="F61" i="14"/>
  <c r="K60" i="14"/>
  <c r="F60" i="14"/>
  <c r="K59" i="14"/>
  <c r="F59" i="14"/>
  <c r="K58" i="14"/>
  <c r="F58" i="14"/>
  <c r="K57" i="14"/>
  <c r="F57" i="14"/>
  <c r="K56" i="14"/>
  <c r="F56" i="14"/>
  <c r="K55" i="14"/>
  <c r="F55" i="14"/>
  <c r="K54" i="14"/>
  <c r="F54" i="14"/>
  <c r="K53" i="14"/>
  <c r="F53" i="14"/>
  <c r="K52" i="14"/>
  <c r="F52" i="14"/>
  <c r="K51" i="14"/>
  <c r="F51" i="14"/>
  <c r="K50" i="14"/>
  <c r="F50" i="14"/>
  <c r="K49" i="14"/>
  <c r="F49" i="14"/>
  <c r="K48" i="14"/>
  <c r="F48" i="14"/>
  <c r="K47" i="14"/>
  <c r="F47" i="14"/>
  <c r="K46" i="14"/>
  <c r="F46" i="14"/>
  <c r="K45" i="14"/>
  <c r="F45" i="14"/>
  <c r="K44" i="14"/>
  <c r="F44" i="14"/>
  <c r="K43" i="14"/>
  <c r="F43" i="14"/>
  <c r="K42" i="14"/>
  <c r="F42" i="14"/>
  <c r="K41" i="14"/>
  <c r="F41" i="14"/>
  <c r="K40" i="14"/>
  <c r="F40" i="14"/>
  <c r="K39" i="14"/>
  <c r="F39" i="14"/>
  <c r="K38" i="14"/>
  <c r="F38" i="14"/>
  <c r="K37" i="14"/>
  <c r="F37" i="14"/>
  <c r="K36" i="14"/>
  <c r="F36" i="14"/>
  <c r="K35" i="14"/>
  <c r="F35" i="14"/>
  <c r="K34" i="14"/>
  <c r="F34" i="14"/>
  <c r="K32" i="14"/>
  <c r="F32" i="14"/>
  <c r="K31" i="14"/>
  <c r="F31" i="14"/>
  <c r="K30" i="14"/>
  <c r="F30" i="14"/>
  <c r="K29" i="14"/>
  <c r="F29" i="14"/>
  <c r="K28" i="14"/>
  <c r="F28" i="14"/>
  <c r="K27" i="14"/>
  <c r="F27" i="14"/>
  <c r="K25" i="14"/>
  <c r="F25" i="14"/>
  <c r="K24" i="14"/>
  <c r="F24" i="14"/>
  <c r="K23" i="14"/>
  <c r="F23" i="14"/>
  <c r="K22" i="14"/>
  <c r="F22" i="14"/>
  <c r="K21" i="14"/>
  <c r="F21" i="14"/>
  <c r="K20" i="14"/>
  <c r="F20" i="14"/>
  <c r="K19" i="14"/>
  <c r="F19" i="14"/>
  <c r="K18" i="14"/>
  <c r="F18" i="14"/>
  <c r="K17" i="14"/>
  <c r="F17" i="14"/>
  <c r="K16" i="14"/>
  <c r="F16" i="14"/>
  <c r="K15" i="14"/>
  <c r="F15" i="14"/>
  <c r="K14" i="14"/>
  <c r="F14" i="14"/>
  <c r="K13" i="14"/>
  <c r="F13" i="14"/>
  <c r="K12" i="14"/>
  <c r="F12" i="14"/>
  <c r="K11" i="14"/>
  <c r="F11" i="14"/>
  <c r="K10" i="14"/>
  <c r="F10" i="14"/>
  <c r="K9" i="14"/>
  <c r="F9" i="14"/>
  <c r="K8" i="14"/>
  <c r="F8" i="14"/>
  <c r="K7" i="14"/>
  <c r="F7" i="14"/>
  <c r="K6" i="14"/>
  <c r="F6" i="14"/>
  <c r="K5" i="14"/>
  <c r="F5" i="14"/>
  <c r="K4" i="14"/>
  <c r="F4" i="14"/>
  <c r="K3" i="14"/>
  <c r="F3" i="14"/>
</calcChain>
</file>

<file path=xl/sharedStrings.xml><?xml version="1.0" encoding="utf-8"?>
<sst xmlns="http://schemas.openxmlformats.org/spreadsheetml/2006/main" count="5651" uniqueCount="470">
  <si>
    <t>DIVISI</t>
  </si>
  <si>
    <t>NO</t>
  </si>
  <si>
    <t>PIN</t>
  </si>
  <si>
    <t>NAMA</t>
  </si>
  <si>
    <t>MASUK KERJA</t>
  </si>
  <si>
    <t>POSISI</t>
  </si>
  <si>
    <t>STAFF</t>
  </si>
  <si>
    <t>MIA FIRIYAL NINDITA</t>
  </si>
  <si>
    <t>MARKETING</t>
  </si>
  <si>
    <t>ACCOUNTING</t>
  </si>
  <si>
    <t>WIWIK ARDIATNO</t>
  </si>
  <si>
    <t>ADI PRATOMO</t>
  </si>
  <si>
    <t>DEBBY ARIANTY MOHAN</t>
  </si>
  <si>
    <t>PPIC</t>
  </si>
  <si>
    <t>ANIS WIDIYARSIH</t>
  </si>
  <si>
    <t>HR RECRUITMENT</t>
  </si>
  <si>
    <t>GUDANG</t>
  </si>
  <si>
    <t>DINUL ROCHMAN</t>
  </si>
  <si>
    <t>SPV</t>
  </si>
  <si>
    <t>LUKMAN FIRMANSYAH</t>
  </si>
  <si>
    <t>DESAIN</t>
  </si>
  <si>
    <t>RINGGA GITA LESMANA</t>
  </si>
  <si>
    <t>AGUS BUDI SUSANTO</t>
  </si>
  <si>
    <t>ANIK NUR AZIZAH</t>
  </si>
  <si>
    <t>M HAMDAN RAMADHANI</t>
  </si>
  <si>
    <t>CETAK</t>
  </si>
  <si>
    <t>AGUS MUJIONO</t>
  </si>
  <si>
    <t>BAMBANG JUMIYO</t>
  </si>
  <si>
    <t>OPERATOR 1 WARNA</t>
  </si>
  <si>
    <t>TONI WANDOYO</t>
  </si>
  <si>
    <t>OPERATOR SAKURAI</t>
  </si>
  <si>
    <t>BOBIN ERFIANTO</t>
  </si>
  <si>
    <t>M KHOIRUL AMINUDIN</t>
  </si>
  <si>
    <t>POTONG</t>
  </si>
  <si>
    <t>FINISHING</t>
  </si>
  <si>
    <t>WINDAYANTI</t>
  </si>
  <si>
    <t>SPV FINISHING</t>
  </si>
  <si>
    <t>ARIF ARIZAL</t>
  </si>
  <si>
    <t>ISAROTUL UMA</t>
  </si>
  <si>
    <t>IKA MUNAWAROH</t>
  </si>
  <si>
    <t>SALMAH</t>
  </si>
  <si>
    <t>SRI WAHYUNI</t>
  </si>
  <si>
    <t>SUFRIATI</t>
  </si>
  <si>
    <t>JUMAATI</t>
  </si>
  <si>
    <t>SUKARTI</t>
  </si>
  <si>
    <t>DINA RATNASARI</t>
  </si>
  <si>
    <t>SULISTIAWATI</t>
  </si>
  <si>
    <t>FIRDIANZAH</t>
  </si>
  <si>
    <t>NGATIYEM</t>
  </si>
  <si>
    <t>MAULANA MALIK</t>
  </si>
  <si>
    <t>AGI PURNOMO</t>
  </si>
  <si>
    <t>ANDIK PURWANTO</t>
  </si>
  <si>
    <t>AMIRIL MUSTOFA</t>
  </si>
  <si>
    <t>MUH ADI SAPUTRA</t>
  </si>
  <si>
    <t>RISMA NOVITA</t>
  </si>
  <si>
    <t>SUKHAEMI</t>
  </si>
  <si>
    <t>SUYATI</t>
  </si>
  <si>
    <t>FIBI AISYAH</t>
  </si>
  <si>
    <t>DEVI SHINTIA DAMAYANTI</t>
  </si>
  <si>
    <t>ONIE NUR LAILI</t>
  </si>
  <si>
    <t>CHOFIDOTHUL FAJRIAH</t>
  </si>
  <si>
    <t>GANI CAHYONO</t>
  </si>
  <si>
    <t>SPV PLONG</t>
  </si>
  <si>
    <t>ALFIAN DIO TEGUH UTOMO</t>
  </si>
  <si>
    <t>WAHYU NUR CAHYO</t>
  </si>
  <si>
    <t xml:space="preserve">TEGUH IMAM RUDI </t>
  </si>
  <si>
    <t>AJI SETIAWAN</t>
  </si>
  <si>
    <t>HELPER PLONG</t>
  </si>
  <si>
    <t>KRISANDI RUDY DHARMA</t>
  </si>
  <si>
    <t>EKSPEDISI</t>
  </si>
  <si>
    <t>CANDRA PUJI LESTARI</t>
  </si>
  <si>
    <t>BANDI</t>
  </si>
  <si>
    <t>ASS SPV EKSPEDISI</t>
  </si>
  <si>
    <t xml:space="preserve">ANDREAS HERLAMBANG </t>
  </si>
  <si>
    <t>SECURITY</t>
  </si>
  <si>
    <t>ANDRY TANIA WIJAYA</t>
  </si>
  <si>
    <t>TRI YUDHA IRIANTO</t>
  </si>
  <si>
    <t>UMUM</t>
  </si>
  <si>
    <t>MAINTENANCE</t>
  </si>
  <si>
    <t>IMAM SUKOLEK</t>
  </si>
  <si>
    <t>OB</t>
  </si>
  <si>
    <t>MASA KERJA</t>
  </si>
  <si>
    <t>PRA CETAK</t>
  </si>
  <si>
    <t>DIMAS ANGGA RIZKI</t>
  </si>
  <si>
    <t>ARIF RAMADHANI</t>
  </si>
  <si>
    <t>ZUKFIKAR ADI WIBOWO</t>
  </si>
  <si>
    <t>DEFY WIJIASTUTIK</t>
  </si>
  <si>
    <t>QA</t>
  </si>
  <si>
    <t>QC</t>
  </si>
  <si>
    <t>ERIK ARTANTO</t>
  </si>
  <si>
    <t>PLONG</t>
  </si>
  <si>
    <t>ADI ARIA PRATAMA</t>
  </si>
  <si>
    <t>SAMSUL ARIFIN</t>
  </si>
  <si>
    <t>ADRYAN FANANI</t>
  </si>
  <si>
    <t>KARU</t>
  </si>
  <si>
    <t>ANGGOTA</t>
  </si>
  <si>
    <t>TRI SASONGKO</t>
  </si>
  <si>
    <t>YUNA PUJI ASTUTI</t>
  </si>
  <si>
    <t>PLAT</t>
  </si>
  <si>
    <t>MASTER CARD</t>
  </si>
  <si>
    <t>ANDI SANJAYA PUTRA</t>
  </si>
  <si>
    <t>GARUDA</t>
  </si>
  <si>
    <t>HENDRI PRASETYA UTAMA</t>
  </si>
  <si>
    <t>M. MUNIR CHOLIS</t>
  </si>
  <si>
    <t>AMIRUL SYAIFUDIN</t>
  </si>
  <si>
    <t>KET</t>
  </si>
  <si>
    <t>B</t>
  </si>
  <si>
    <t>M</t>
  </si>
  <si>
    <t>TGL LAHIR</t>
  </si>
  <si>
    <t>UMUR</t>
  </si>
  <si>
    <t>ANDY MAULANA SUPRAPTO</t>
  </si>
  <si>
    <t>FAJAR DARMAWAN</t>
  </si>
  <si>
    <t>AFRIZAL YUDHISTIRA FIRSTADA</t>
  </si>
  <si>
    <t>MAHMUD SUPA'AT</t>
  </si>
  <si>
    <t>DEDI SUKMA DWI CAHYONO</t>
  </si>
  <si>
    <t>ARIF MUHARTO</t>
  </si>
  <si>
    <t>DEDI RIDWANTO</t>
  </si>
  <si>
    <t>BAGAS TRI SENOPUTRA</t>
  </si>
  <si>
    <t>TRIO NERMA</t>
  </si>
  <si>
    <t>YOGA ABIYANTO</t>
  </si>
  <si>
    <t>MUHAMMAD RIZKON</t>
  </si>
  <si>
    <t>MANAGER</t>
  </si>
  <si>
    <t>HELPER GUDANG LV 3</t>
  </si>
  <si>
    <t>HELPER GUDANG LV 2</t>
  </si>
  <si>
    <t>KONTEN KREATOR</t>
  </si>
  <si>
    <t>OPERATOR 4 WARNA</t>
  </si>
  <si>
    <t>HELPER 4 WARNA</t>
  </si>
  <si>
    <t>HELPER POTONG LV 3</t>
  </si>
  <si>
    <t>OPERATOR LAMINASI</t>
  </si>
  <si>
    <t>HELPER LAMINASI</t>
  </si>
  <si>
    <t>OPERATOR FOLDER GLUER</t>
  </si>
  <si>
    <t>HELPER FOLDER GLUER</t>
  </si>
  <si>
    <t>LEM LV 3</t>
  </si>
  <si>
    <t>LEM LV 1</t>
  </si>
  <si>
    <t>KUPAS LV 2</t>
  </si>
  <si>
    <t>QC / PACK LV 3</t>
  </si>
  <si>
    <t>QC / PACK LV 2</t>
  </si>
  <si>
    <t>OPERATOR PLONG LV 3</t>
  </si>
  <si>
    <t>OPERATOR PLONG LV 2</t>
  </si>
  <si>
    <t>OPERATOR PLONG LV 1</t>
  </si>
  <si>
    <t>TRUCK DRIVER</t>
  </si>
  <si>
    <t>HELPER EKSPEDISI LV 2</t>
  </si>
  <si>
    <t>OPERATOR UV / LAMINATING</t>
  </si>
  <si>
    <t>DATA UPDATE KARYAWAN 27 JULI 2020</t>
  </si>
  <si>
    <t>MUHAMMAD SAIFUDIN</t>
  </si>
  <si>
    <t>HELPER EKSPEDISI LV 1</t>
  </si>
  <si>
    <t>EKY SHINTA DEWI</t>
  </si>
  <si>
    <t>DATA UPDATE KARYAWAN 10 OKTOBER 2020</t>
  </si>
  <si>
    <t>HERI ROMDANI</t>
  </si>
  <si>
    <t>PURCHASING</t>
  </si>
  <si>
    <t>HRD</t>
  </si>
  <si>
    <t>AS CETAK 4 WARNA</t>
  </si>
  <si>
    <t>IRWAN ARDIANTO</t>
  </si>
  <si>
    <t>ARDHA FEBRIANSYAH</t>
  </si>
  <si>
    <t>HELPER OP. CETAK LV1</t>
  </si>
  <si>
    <t>HANWAY</t>
  </si>
  <si>
    <t>M. ALFI ROHMAN</t>
  </si>
  <si>
    <t>OPERATOR HANWAY</t>
  </si>
  <si>
    <t>HELPER HANWAY LV2</t>
  </si>
  <si>
    <t>HELPER HANWAY LV1</t>
  </si>
  <si>
    <t>HARI VIKY WIDIYANTO</t>
  </si>
  <si>
    <t>KSI</t>
  </si>
  <si>
    <t>DELIVERYMAN</t>
  </si>
  <si>
    <t>DWIKI GALANG SADEWA</t>
  </si>
  <si>
    <t>NUZUL DWIKY ANANDA</t>
  </si>
  <si>
    <t>MUHAMAD FAHRUL BISMA</t>
  </si>
  <si>
    <t>ADE FERIAN</t>
  </si>
  <si>
    <t>ROHMAT</t>
  </si>
  <si>
    <t xml:space="preserve">KUPAS LV 1 </t>
  </si>
  <si>
    <t>YENI INAWATI</t>
  </si>
  <si>
    <t>MEI WULANDARI</t>
  </si>
  <si>
    <t>QC / PACK LV 1</t>
  </si>
  <si>
    <t>SITI CHORIDA</t>
  </si>
  <si>
    <t>MUCHAMAD ZAENURI</t>
  </si>
  <si>
    <t>ALDAN DAMAR BINTANG</t>
  </si>
  <si>
    <t>SUHENDRIK</t>
  </si>
  <si>
    <t>DATA UPDATE KARYAWAN 19 JANUARI 2021</t>
  </si>
  <si>
    <t>ADM MARKETING</t>
  </si>
  <si>
    <t>SPV GUDANG</t>
  </si>
  <si>
    <t>SPV PRA CETAK</t>
  </si>
  <si>
    <t>TEAM KREATIF</t>
  </si>
  <si>
    <t>SPV CETAK</t>
  </si>
  <si>
    <t>ASS PPIC</t>
  </si>
  <si>
    <t>UMI NAFIAH</t>
  </si>
  <si>
    <t>QC IN PROSES</t>
  </si>
  <si>
    <t>SPV EKSPEDISI</t>
  </si>
  <si>
    <t>CAHYONO DWI RAHARJO</t>
  </si>
  <si>
    <t>ADAM UTOMO AMALUDIN</t>
  </si>
  <si>
    <t>d</t>
  </si>
  <si>
    <t>MINGGUAN</t>
  </si>
  <si>
    <t>ANDREAS HERLAMBANG</t>
  </si>
  <si>
    <t>RUMAH</t>
  </si>
  <si>
    <t>DIGITAL</t>
  </si>
  <si>
    <t xml:space="preserve"> OP FG 4</t>
  </si>
  <si>
    <t>DR</t>
  </si>
  <si>
    <t>RISMA NOVITA PUTRI</t>
  </si>
  <si>
    <t>MAULANA MALIK IBNU AZIZ</t>
  </si>
  <si>
    <t>MANUAL</t>
  </si>
  <si>
    <t>HELPER FG 4</t>
  </si>
  <si>
    <t>SATPAM</t>
  </si>
  <si>
    <t>LAMINASI</t>
  </si>
  <si>
    <t>TEGUH IMAM RUDI A.M.</t>
  </si>
  <si>
    <t>DIMAS ANGGA</t>
  </si>
  <si>
    <t>KUPAS</t>
  </si>
  <si>
    <t>LAMINATING</t>
  </si>
  <si>
    <t>VERSAFIRE</t>
  </si>
  <si>
    <t>KREATIF</t>
  </si>
  <si>
    <t>DIECUT</t>
  </si>
  <si>
    <t>DELIVERY</t>
  </si>
  <si>
    <t>MUCHAMMAD SYARIFUDIN</t>
  </si>
  <si>
    <t>SHRINK</t>
  </si>
  <si>
    <t>IQBAL A'LA ASHYIFA</t>
  </si>
  <si>
    <t>FG 3</t>
  </si>
  <si>
    <t>ROBBY NUR MAULANA</t>
  </si>
  <si>
    <t>IKA FADILLAH AKBAR</t>
  </si>
  <si>
    <t>RONY SAPUTRA</t>
  </si>
  <si>
    <t>HABIB AKHDAN AL FALAH</t>
  </si>
  <si>
    <t>SARIROTUL LUTFIAH</t>
  </si>
  <si>
    <t>WAHYU WIDODO</t>
  </si>
  <si>
    <t>HERU KURNIAWAN</t>
  </si>
  <si>
    <t>EVI KUMALASARI</t>
  </si>
  <si>
    <t>LINDA WULANDARI</t>
  </si>
  <si>
    <t>KUS SULISTIANI</t>
  </si>
  <si>
    <t>HELPER FG 3</t>
  </si>
  <si>
    <t>DESI DWI INDAH SAFITRI</t>
  </si>
  <si>
    <t>ALDI ARDIANSYAH</t>
  </si>
  <si>
    <t>MUHAMAD BANDUNG NUGROHO</t>
  </si>
  <si>
    <t>GUNAWAN HENJO ALBERTO</t>
  </si>
  <si>
    <t>ADI SETIONO</t>
  </si>
  <si>
    <t>OP FORKLIFT</t>
  </si>
  <si>
    <t>MOCHAMAD FIKRI FERDIANSYAH</t>
  </si>
  <si>
    <t>EKA YENI RAHAYU</t>
  </si>
  <si>
    <t>MOCHAMMAD VIRGA REXZY</t>
  </si>
  <si>
    <t>ILMA NURMASHITA</t>
  </si>
  <si>
    <t>IVAN SAPUTRA</t>
  </si>
  <si>
    <t>MUHAMMAD VERY SYAHPUTRA</t>
  </si>
  <si>
    <t>DENI IRA NOVITA</t>
  </si>
  <si>
    <t>AHMAD DWI MAULANA</t>
  </si>
  <si>
    <t>AHMAD FAUZI</t>
  </si>
  <si>
    <t>RIZKI NUR HIDAYAT</t>
  </si>
  <si>
    <t>APRILIANTI KARTIKA DEWI</t>
  </si>
  <si>
    <t>SASKIA NURIN ANTIKA</t>
  </si>
  <si>
    <t>TUTIARI</t>
  </si>
  <si>
    <t>MOHAMMAD RAMADHAN ADI SAPUTRA</t>
  </si>
  <si>
    <t>MOCHAMMAD ADE WARDANA</t>
  </si>
  <si>
    <t>MUCHAMAD LUKMAN FARID</t>
  </si>
  <si>
    <t>MAURA SESIL PRISILIA</t>
  </si>
  <si>
    <t>M. IQBAL AGO</t>
  </si>
  <si>
    <t>M. AZKA NOVAN RAMADHAN</t>
  </si>
  <si>
    <t>GUNTUR REZA PAHLEVI</t>
  </si>
  <si>
    <t>ANDI PARIS BACHTIAR</t>
  </si>
  <si>
    <t>JOHAN AZZURA FEBRIANSYAH</t>
  </si>
  <si>
    <t>RAYHAN MAULANA CHRISNA PUTRA</t>
  </si>
  <si>
    <t>OP FG 3</t>
  </si>
  <si>
    <t>ENI HANINGTYAS</t>
  </si>
  <si>
    <t>M. TI'SAH AKBAR</t>
  </si>
  <si>
    <t>JHOHAN DWI PRASETYO</t>
  </si>
  <si>
    <t>SANIA INDAR PARAWANGSA</t>
  </si>
  <si>
    <t>MARIA ULFA</t>
  </si>
  <si>
    <t>FENDI PRASETYO JAYA WASESA</t>
  </si>
  <si>
    <t>ARIF AGUS</t>
  </si>
  <si>
    <t>HENDRIAN</t>
  </si>
  <si>
    <t>M. TEGUH ERLANGGA P</t>
  </si>
  <si>
    <t>SOFYAN HADI ROBY SAPUTRA</t>
  </si>
  <si>
    <t>DIDIT ADITIA KURNIAWAN</t>
  </si>
  <si>
    <t>TRI DWI ASMA DENI</t>
  </si>
  <si>
    <t>ACHMAD SYARIF</t>
  </si>
  <si>
    <t>ARINDA NINDY PUTRI SILVYA</t>
  </si>
  <si>
    <t>RIZTA HARIF SHABRINA</t>
  </si>
  <si>
    <t>PANCA INDRA LAKSMANA PUTRA</t>
  </si>
  <si>
    <t>RADEN DICKY</t>
  </si>
  <si>
    <t>REGI SEPTA WAHYU WIDAYANA</t>
  </si>
  <si>
    <t>ANIS SYAFAAH</t>
  </si>
  <si>
    <t>YULISDA DIAN</t>
  </si>
  <si>
    <t>AGUNG DWI JAYANA</t>
  </si>
  <si>
    <t>M. SE'IYA ARDIANTO</t>
  </si>
  <si>
    <t>SANDI ARIANTO</t>
  </si>
  <si>
    <t>NUR DIANA LEDIA WATI</t>
  </si>
  <si>
    <t>WIDITA KUSUMANINGSIH</t>
  </si>
  <si>
    <t>BUDI AMIN</t>
  </si>
  <si>
    <t>SURO NUR WIDIANTO</t>
  </si>
  <si>
    <t>M. ABDUL SYAMSUL IMAN</t>
  </si>
  <si>
    <t>M. YOGA PRATAMA</t>
  </si>
  <si>
    <t>PSG</t>
  </si>
  <si>
    <t>M. GHOVRIELLAH</t>
  </si>
  <si>
    <t>M. RIVAL</t>
  </si>
  <si>
    <t>AKHMAD REHAN ABDILLAH</t>
  </si>
  <si>
    <t>M. REFAN MAULANA</t>
  </si>
  <si>
    <t>SUCI DAMAYANTI</t>
  </si>
  <si>
    <t>ANNISA KUSUMANINGTYAS</t>
  </si>
  <si>
    <t>ACHLUL WAHYU PRASETYO</t>
  </si>
  <si>
    <t>RESIGN</t>
  </si>
  <si>
    <t>ADE MAHENDRA</t>
  </si>
  <si>
    <t>HARIAN LEPAS</t>
  </si>
  <si>
    <t>INDIRA DYAH PRAMESTI</t>
  </si>
  <si>
    <t>NUR AZIZAH</t>
  </si>
  <si>
    <t>NURJANNAH</t>
  </si>
  <si>
    <t>MUHAMAD ZALDY AFIF ALDAFFA</t>
  </si>
  <si>
    <t>UKKASYAH MASHUDI</t>
  </si>
  <si>
    <t>AHMAD ALWI NASTAIN</t>
  </si>
  <si>
    <t>M. BAGUS DIRGANTARA</t>
  </si>
  <si>
    <t>MUCHAMAD JIBRIL ABISOMA</t>
  </si>
  <si>
    <t>MURNI</t>
  </si>
  <si>
    <t>VICKY ADI</t>
  </si>
  <si>
    <t>DWI SETIAWAN</t>
  </si>
  <si>
    <t>DIDIN ARIF KURNIAWAN</t>
  </si>
  <si>
    <t>DEPOSIT</t>
  </si>
  <si>
    <t>BPJS</t>
  </si>
  <si>
    <t>3P</t>
  </si>
  <si>
    <t>2P</t>
  </si>
  <si>
    <t>TIDAK BERKENAN</t>
  </si>
  <si>
    <t>HIGH RISK</t>
  </si>
  <si>
    <t>OPERATOR</t>
  </si>
  <si>
    <t>BELUM</t>
  </si>
  <si>
    <t>PLANNING : SAAT USIA 50 TH</t>
  </si>
  <si>
    <t>STATUS</t>
  </si>
  <si>
    <t>AKTIF</t>
  </si>
  <si>
    <t>ADA</t>
  </si>
  <si>
    <t>KTP BERMASALAH</t>
  </si>
  <si>
    <t>BATCH 3</t>
  </si>
  <si>
    <t>29/07/2021</t>
  </si>
  <si>
    <t>27/08/2021</t>
  </si>
  <si>
    <t>09/09/2021</t>
  </si>
  <si>
    <t>21/10/2021</t>
  </si>
  <si>
    <t>04/07/2022</t>
  </si>
  <si>
    <t>14/07/2022</t>
  </si>
  <si>
    <t>21/12/2022</t>
  </si>
  <si>
    <t>02/05/2023</t>
  </si>
  <si>
    <t>17/06/2023</t>
  </si>
  <si>
    <t>04/07/2023</t>
  </si>
  <si>
    <t>26/12/2023</t>
  </si>
  <si>
    <t>09/01/2024</t>
  </si>
  <si>
    <t>31/01/2024</t>
  </si>
  <si>
    <t>25/03/2024</t>
  </si>
  <si>
    <t>13/05/2024</t>
  </si>
  <si>
    <t>31/05/2024</t>
  </si>
  <si>
    <t>06/07/2024</t>
  </si>
  <si>
    <t>19/08/2024</t>
  </si>
  <si>
    <t>21/08/2024</t>
  </si>
  <si>
    <t>26/08/2024</t>
  </si>
  <si>
    <t>M. RAFLY</t>
  </si>
  <si>
    <t>JABATAN DAN STATUS</t>
  </si>
  <si>
    <t>LAMA KERJA</t>
  </si>
  <si>
    <t>IDENTITAS</t>
  </si>
  <si>
    <t>BENEFIT</t>
  </si>
  <si>
    <t>22/10/2024</t>
  </si>
  <si>
    <t>26/10/2024</t>
  </si>
  <si>
    <t>14/12/2024</t>
  </si>
  <si>
    <t>20/01/2025</t>
  </si>
  <si>
    <t>11/03/2025</t>
  </si>
  <si>
    <t>13/03/2025</t>
  </si>
  <si>
    <t>10/05/2025</t>
  </si>
  <si>
    <t>13/05/2025</t>
  </si>
  <si>
    <t>29/08/2025</t>
  </si>
  <si>
    <t>13/09/2025</t>
  </si>
  <si>
    <t>16/09/2025</t>
  </si>
  <si>
    <t>19/09/2025</t>
  </si>
  <si>
    <t>22/09/2025</t>
  </si>
  <si>
    <t>25/09/2025</t>
  </si>
  <si>
    <t>27/09/2025</t>
  </si>
  <si>
    <t>TUNGGU MIN 3 BLN (DAFTAR AWAL JAN 2026)</t>
  </si>
  <si>
    <t>TUNGGU MIN 3 BLN (DAFTAR AWAL DES 2026)</t>
  </si>
  <si>
    <t>TIDAK ADA</t>
  </si>
  <si>
    <t>BERKAS DATA DIRI</t>
  </si>
  <si>
    <t>SANIA MAURA FITRIANI</t>
  </si>
  <si>
    <t>MEIDINI MAYA LATANSA</t>
  </si>
  <si>
    <t>DIGITAL MARKETING</t>
  </si>
  <si>
    <t>FAUZIAH BERLIANA PUTRI</t>
  </si>
  <si>
    <t>LAILATUL DWISEPTIA</t>
  </si>
  <si>
    <t>TRIYONO</t>
  </si>
  <si>
    <t>WAREHOUSE</t>
  </si>
  <si>
    <t>M. TIS'AH AKBAR</t>
  </si>
  <si>
    <t>HELPER FG4</t>
  </si>
  <si>
    <t>KRISTINA TRI WULANDARI</t>
  </si>
  <si>
    <t>LAILATUL AZMI DWI SEPTIA</t>
  </si>
  <si>
    <t>EDY MULYANTO</t>
  </si>
  <si>
    <t>JENIS KELAMIN</t>
  </si>
  <si>
    <t>L</t>
  </si>
  <si>
    <t>P</t>
  </si>
  <si>
    <t>RESIGN TIBA - TIBA SETELAH HARI RAYA</t>
  </si>
  <si>
    <t>31/4/2026</t>
  </si>
  <si>
    <t>MENGURUS ANAK, RESIGN TIBA TIBA</t>
  </si>
  <si>
    <t>1 MONTH NOTICE, MENGURUS KAKEK DI SBY</t>
  </si>
  <si>
    <t xml:space="preserve">RESIGN </t>
  </si>
  <si>
    <t>RESIGN TIBA - TIBA SETELAH HARI RAYA DAN SP3 BERTENGKAR</t>
  </si>
  <si>
    <t>PUJIANTO</t>
  </si>
  <si>
    <t>DRIVER</t>
  </si>
  <si>
    <t>085792234185</t>
  </si>
  <si>
    <t>3573042504870009</t>
  </si>
  <si>
    <t>AGUNG HADI SUTRISNO</t>
  </si>
  <si>
    <t>085334332499</t>
  </si>
  <si>
    <t>3507121201830002</t>
  </si>
  <si>
    <t>SRI ISLAMI</t>
  </si>
  <si>
    <t>NOVRILA FAUZANIN</t>
  </si>
  <si>
    <t>3507256111980001</t>
  </si>
  <si>
    <t>087860103517</t>
  </si>
  <si>
    <t>0895710066500</t>
  </si>
  <si>
    <t>3507155605950003</t>
  </si>
  <si>
    <t>ASMARANI TIARA PUTRI</t>
  </si>
  <si>
    <t>6401046104980002</t>
  </si>
  <si>
    <t>081230917551</t>
  </si>
  <si>
    <t>Resign tanggal 7 Mei 2026</t>
  </si>
  <si>
    <t>Resign tanggal 7 Juni 2026</t>
  </si>
  <si>
    <t>Resign tanggal 30 Mei 2026</t>
  </si>
  <si>
    <t>IT</t>
  </si>
  <si>
    <t>ERIKA MEY LANI</t>
  </si>
  <si>
    <t>DESKPRINT</t>
  </si>
  <si>
    <t>PROSES</t>
  </si>
  <si>
    <t>3573045805020010</t>
  </si>
  <si>
    <t>082125438510</t>
  </si>
  <si>
    <t>ALIF SYAM RAMADHAN</t>
  </si>
  <si>
    <t>NPD</t>
  </si>
  <si>
    <t>3671063011000006</t>
  </si>
  <si>
    <t>085773418093</t>
  </si>
  <si>
    <t>HENI SETRIYANINGTIYAS</t>
  </si>
  <si>
    <t>082257174136</t>
  </si>
  <si>
    <t>ALFINA ZAHRA SALSABILA</t>
  </si>
  <si>
    <t>3502095711030001</t>
  </si>
  <si>
    <t>081339597687</t>
  </si>
  <si>
    <t>EKA WIJAYA</t>
  </si>
  <si>
    <t>FARDAN YANUAR</t>
  </si>
  <si>
    <t>ARGO FEBRIANTO</t>
  </si>
  <si>
    <t>PRE PRESS</t>
  </si>
  <si>
    <t>3573032402030004</t>
  </si>
  <si>
    <t>FITRIA AYU MUSTIKANINGTYAS</t>
  </si>
  <si>
    <t>NOVA FITRIANI</t>
  </si>
  <si>
    <t>3514085411040001</t>
  </si>
  <si>
    <t>RESIGN TIBA - TIBA</t>
  </si>
  <si>
    <t>MENINGGAL DUNIA</t>
  </si>
  <si>
    <t>1 MONTH NOTICE, INGIN BERPINDAH MENJADI IT</t>
  </si>
  <si>
    <t>SP3</t>
  </si>
  <si>
    <t>1 MONTH NOTICE</t>
  </si>
  <si>
    <t>RESIGN MENDADAK</t>
  </si>
  <si>
    <t>MENDADAK</t>
  </si>
  <si>
    <t>ALASAN</t>
  </si>
  <si>
    <t>RESIGN MENDADAK (ALASAN PRIBADI)</t>
  </si>
  <si>
    <t>1 MONTH NOTICE, MENDAPATKAN PEKERJAAN BARU</t>
  </si>
  <si>
    <t>3507250701040003</t>
  </si>
  <si>
    <t>085156649353</t>
  </si>
  <si>
    <t>AL QURIAWATI</t>
  </si>
  <si>
    <t>MUHAMMAD ALI FARHAN</t>
  </si>
  <si>
    <t>ARGA SETIYA SAVITRA</t>
  </si>
  <si>
    <t>OP CETAK</t>
  </si>
  <si>
    <t>3660428568</t>
  </si>
  <si>
    <t>3507173101010001</t>
  </si>
  <si>
    <t>0856-6965-9550</t>
  </si>
  <si>
    <t>8163118732</t>
  </si>
  <si>
    <t>3507232710060003</t>
  </si>
  <si>
    <t>0895-6134-45284</t>
  </si>
  <si>
    <t>SPV DIGITAL</t>
  </si>
  <si>
    <t>4400058551</t>
  </si>
  <si>
    <t>3507224904980002</t>
  </si>
  <si>
    <t>0855-3636-4066</t>
  </si>
  <si>
    <t>3505225007010001</t>
  </si>
  <si>
    <t>8162168257</t>
  </si>
  <si>
    <t>0857-3009-8004</t>
  </si>
  <si>
    <t>CATUR PRASETYA</t>
  </si>
  <si>
    <t>0838-7834-5668</t>
  </si>
  <si>
    <t>3322101008970001</t>
  </si>
  <si>
    <t>3311195733</t>
  </si>
  <si>
    <t>AGATA</t>
  </si>
  <si>
    <t>M. FIRMAN</t>
  </si>
  <si>
    <t>MARKETING MANAGER</t>
  </si>
  <si>
    <t>EDO DAYANTO</t>
  </si>
  <si>
    <t>HELPER FINISHING</t>
  </si>
  <si>
    <t>SHOFIA AZKIA</t>
  </si>
  <si>
    <t>FINANCE</t>
  </si>
  <si>
    <t>3505125004010002</t>
  </si>
  <si>
    <t>4400301200</t>
  </si>
  <si>
    <t>085231061517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</si>
</sst>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8" fillId="0" borderId="5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164" fontId="8" fillId="0" borderId="10" xfId="0" quotePrefix="1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14" fontId="8" fillId="0" borderId="14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14" fontId="8" fillId="0" borderId="22" xfId="0" applyNumberFormat="1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4" fontId="8" fillId="2" borderId="10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vertical="center"/>
    </xf>
    <xf numFmtId="1" fontId="0" fillId="0" borderId="0" xfId="0" quotePrefix="1" applyNumberFormat="1" applyAlignment="1">
      <alignment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 wrapText="1"/>
    </xf>
    <xf numFmtId="0" fontId="1" fillId="10" borderId="25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C53B-5867-4348-931F-8146376A3CDF}">
  <dimension ref="A1:K584"/>
  <sheetViews>
    <sheetView workbookViewId="0">
      <selection activeCell="M12" sqref="M12"/>
    </sheetView>
  </sheetViews>
  <sheetFormatPr defaultRowHeight="14.5" x14ac:dyDescent="0.35"/>
  <cols>
    <col min="1" max="1" width="3.54296875" style="1" bestFit="1" customWidth="1"/>
    <col min="2" max="2" width="11.26953125" style="16" bestFit="1" customWidth="1"/>
    <col min="3" max="3" width="6.7265625" style="16" customWidth="1"/>
    <col min="4" max="4" width="22.26953125" style="17" customWidth="1"/>
    <col min="5" max="5" width="11.26953125" style="16" customWidth="1"/>
    <col min="6" max="6" width="13" style="1" customWidth="1"/>
    <col min="7" max="7" width="20.81640625" style="18" customWidth="1"/>
    <col min="8" max="8" width="9.1796875" hidden="1" customWidth="1"/>
    <col min="9" max="9" width="6.54296875" style="1" customWidth="1"/>
    <col min="10" max="10" width="15.1796875" style="1" bestFit="1" customWidth="1"/>
    <col min="11" max="11" width="13.453125" style="1" bestFit="1" customWidth="1"/>
    <col min="12" max="256" width="9.1796875" style="1"/>
    <col min="257" max="257" width="3.54296875" style="1" bestFit="1" customWidth="1"/>
    <col min="258" max="258" width="11.26953125" style="1" bestFit="1" customWidth="1"/>
    <col min="259" max="259" width="6.7265625" style="1" customWidth="1"/>
    <col min="260" max="260" width="22.26953125" style="1" customWidth="1"/>
    <col min="261" max="261" width="11.26953125" style="1" customWidth="1"/>
    <col min="262" max="262" width="19.1796875" style="1" customWidth="1"/>
    <col min="263" max="263" width="24" style="1" customWidth="1"/>
    <col min="264" max="264" width="19" style="1" bestFit="1" customWidth="1"/>
    <col min="265" max="265" width="9" style="1" bestFit="1" customWidth="1"/>
    <col min="266" max="266" width="15.1796875" style="1" bestFit="1" customWidth="1"/>
    <col min="267" max="512" width="9.1796875" style="1"/>
    <col min="513" max="513" width="3.54296875" style="1" bestFit="1" customWidth="1"/>
    <col min="514" max="514" width="11.26953125" style="1" bestFit="1" customWidth="1"/>
    <col min="515" max="515" width="6.7265625" style="1" customWidth="1"/>
    <col min="516" max="516" width="22.26953125" style="1" customWidth="1"/>
    <col min="517" max="517" width="11.26953125" style="1" customWidth="1"/>
    <col min="518" max="518" width="19.1796875" style="1" customWidth="1"/>
    <col min="519" max="519" width="24" style="1" customWidth="1"/>
    <col min="520" max="520" width="19" style="1" bestFit="1" customWidth="1"/>
    <col min="521" max="521" width="9" style="1" bestFit="1" customWidth="1"/>
    <col min="522" max="522" width="15.1796875" style="1" bestFit="1" customWidth="1"/>
    <col min="523" max="768" width="9.1796875" style="1"/>
    <col min="769" max="769" width="3.54296875" style="1" bestFit="1" customWidth="1"/>
    <col min="770" max="770" width="11.26953125" style="1" bestFit="1" customWidth="1"/>
    <col min="771" max="771" width="6.7265625" style="1" customWidth="1"/>
    <col min="772" max="772" width="22.26953125" style="1" customWidth="1"/>
    <col min="773" max="773" width="11.26953125" style="1" customWidth="1"/>
    <col min="774" max="774" width="19.1796875" style="1" customWidth="1"/>
    <col min="775" max="775" width="24" style="1" customWidth="1"/>
    <col min="776" max="776" width="19" style="1" bestFit="1" customWidth="1"/>
    <col min="777" max="777" width="9" style="1" bestFit="1" customWidth="1"/>
    <col min="778" max="778" width="15.1796875" style="1" bestFit="1" customWidth="1"/>
    <col min="779" max="1024" width="9.1796875" style="1"/>
    <col min="1025" max="1025" width="3.54296875" style="1" bestFit="1" customWidth="1"/>
    <col min="1026" max="1026" width="11.26953125" style="1" bestFit="1" customWidth="1"/>
    <col min="1027" max="1027" width="6.7265625" style="1" customWidth="1"/>
    <col min="1028" max="1028" width="22.26953125" style="1" customWidth="1"/>
    <col min="1029" max="1029" width="11.26953125" style="1" customWidth="1"/>
    <col min="1030" max="1030" width="19.1796875" style="1" customWidth="1"/>
    <col min="1031" max="1031" width="24" style="1" customWidth="1"/>
    <col min="1032" max="1032" width="19" style="1" bestFit="1" customWidth="1"/>
    <col min="1033" max="1033" width="9" style="1" bestFit="1" customWidth="1"/>
    <col min="1034" max="1034" width="15.1796875" style="1" bestFit="1" customWidth="1"/>
    <col min="1035" max="1280" width="9.1796875" style="1"/>
    <col min="1281" max="1281" width="3.54296875" style="1" bestFit="1" customWidth="1"/>
    <col min="1282" max="1282" width="11.26953125" style="1" bestFit="1" customWidth="1"/>
    <col min="1283" max="1283" width="6.7265625" style="1" customWidth="1"/>
    <col min="1284" max="1284" width="22.26953125" style="1" customWidth="1"/>
    <col min="1285" max="1285" width="11.26953125" style="1" customWidth="1"/>
    <col min="1286" max="1286" width="19.1796875" style="1" customWidth="1"/>
    <col min="1287" max="1287" width="24" style="1" customWidth="1"/>
    <col min="1288" max="1288" width="19" style="1" bestFit="1" customWidth="1"/>
    <col min="1289" max="1289" width="9" style="1" bestFit="1" customWidth="1"/>
    <col min="1290" max="1290" width="15.1796875" style="1" bestFit="1" customWidth="1"/>
    <col min="1291" max="1536" width="9.1796875" style="1"/>
    <col min="1537" max="1537" width="3.54296875" style="1" bestFit="1" customWidth="1"/>
    <col min="1538" max="1538" width="11.26953125" style="1" bestFit="1" customWidth="1"/>
    <col min="1539" max="1539" width="6.7265625" style="1" customWidth="1"/>
    <col min="1540" max="1540" width="22.26953125" style="1" customWidth="1"/>
    <col min="1541" max="1541" width="11.26953125" style="1" customWidth="1"/>
    <col min="1542" max="1542" width="19.1796875" style="1" customWidth="1"/>
    <col min="1543" max="1543" width="24" style="1" customWidth="1"/>
    <col min="1544" max="1544" width="19" style="1" bestFit="1" customWidth="1"/>
    <col min="1545" max="1545" width="9" style="1" bestFit="1" customWidth="1"/>
    <col min="1546" max="1546" width="15.1796875" style="1" bestFit="1" customWidth="1"/>
    <col min="1547" max="1792" width="9.1796875" style="1"/>
    <col min="1793" max="1793" width="3.54296875" style="1" bestFit="1" customWidth="1"/>
    <col min="1794" max="1794" width="11.26953125" style="1" bestFit="1" customWidth="1"/>
    <col min="1795" max="1795" width="6.7265625" style="1" customWidth="1"/>
    <col min="1796" max="1796" width="22.26953125" style="1" customWidth="1"/>
    <col min="1797" max="1797" width="11.26953125" style="1" customWidth="1"/>
    <col min="1798" max="1798" width="19.1796875" style="1" customWidth="1"/>
    <col min="1799" max="1799" width="24" style="1" customWidth="1"/>
    <col min="1800" max="1800" width="19" style="1" bestFit="1" customWidth="1"/>
    <col min="1801" max="1801" width="9" style="1" bestFit="1" customWidth="1"/>
    <col min="1802" max="1802" width="15.1796875" style="1" bestFit="1" customWidth="1"/>
    <col min="1803" max="2048" width="9.1796875" style="1"/>
    <col min="2049" max="2049" width="3.54296875" style="1" bestFit="1" customWidth="1"/>
    <col min="2050" max="2050" width="11.26953125" style="1" bestFit="1" customWidth="1"/>
    <col min="2051" max="2051" width="6.7265625" style="1" customWidth="1"/>
    <col min="2052" max="2052" width="22.26953125" style="1" customWidth="1"/>
    <col min="2053" max="2053" width="11.26953125" style="1" customWidth="1"/>
    <col min="2054" max="2054" width="19.1796875" style="1" customWidth="1"/>
    <col min="2055" max="2055" width="24" style="1" customWidth="1"/>
    <col min="2056" max="2056" width="19" style="1" bestFit="1" customWidth="1"/>
    <col min="2057" max="2057" width="9" style="1" bestFit="1" customWidth="1"/>
    <col min="2058" max="2058" width="15.1796875" style="1" bestFit="1" customWidth="1"/>
    <col min="2059" max="2304" width="9.1796875" style="1"/>
    <col min="2305" max="2305" width="3.54296875" style="1" bestFit="1" customWidth="1"/>
    <col min="2306" max="2306" width="11.26953125" style="1" bestFit="1" customWidth="1"/>
    <col min="2307" max="2307" width="6.7265625" style="1" customWidth="1"/>
    <col min="2308" max="2308" width="22.26953125" style="1" customWidth="1"/>
    <col min="2309" max="2309" width="11.26953125" style="1" customWidth="1"/>
    <col min="2310" max="2310" width="19.1796875" style="1" customWidth="1"/>
    <col min="2311" max="2311" width="24" style="1" customWidth="1"/>
    <col min="2312" max="2312" width="19" style="1" bestFit="1" customWidth="1"/>
    <col min="2313" max="2313" width="9" style="1" bestFit="1" customWidth="1"/>
    <col min="2314" max="2314" width="15.1796875" style="1" bestFit="1" customWidth="1"/>
    <col min="2315" max="2560" width="9.1796875" style="1"/>
    <col min="2561" max="2561" width="3.54296875" style="1" bestFit="1" customWidth="1"/>
    <col min="2562" max="2562" width="11.26953125" style="1" bestFit="1" customWidth="1"/>
    <col min="2563" max="2563" width="6.7265625" style="1" customWidth="1"/>
    <col min="2564" max="2564" width="22.26953125" style="1" customWidth="1"/>
    <col min="2565" max="2565" width="11.26953125" style="1" customWidth="1"/>
    <col min="2566" max="2566" width="19.1796875" style="1" customWidth="1"/>
    <col min="2567" max="2567" width="24" style="1" customWidth="1"/>
    <col min="2568" max="2568" width="19" style="1" bestFit="1" customWidth="1"/>
    <col min="2569" max="2569" width="9" style="1" bestFit="1" customWidth="1"/>
    <col min="2570" max="2570" width="15.1796875" style="1" bestFit="1" customWidth="1"/>
    <col min="2571" max="2816" width="9.1796875" style="1"/>
    <col min="2817" max="2817" width="3.54296875" style="1" bestFit="1" customWidth="1"/>
    <col min="2818" max="2818" width="11.26953125" style="1" bestFit="1" customWidth="1"/>
    <col min="2819" max="2819" width="6.7265625" style="1" customWidth="1"/>
    <col min="2820" max="2820" width="22.26953125" style="1" customWidth="1"/>
    <col min="2821" max="2821" width="11.26953125" style="1" customWidth="1"/>
    <col min="2822" max="2822" width="19.1796875" style="1" customWidth="1"/>
    <col min="2823" max="2823" width="24" style="1" customWidth="1"/>
    <col min="2824" max="2824" width="19" style="1" bestFit="1" customWidth="1"/>
    <col min="2825" max="2825" width="9" style="1" bestFit="1" customWidth="1"/>
    <col min="2826" max="2826" width="15.1796875" style="1" bestFit="1" customWidth="1"/>
    <col min="2827" max="3072" width="9.1796875" style="1"/>
    <col min="3073" max="3073" width="3.54296875" style="1" bestFit="1" customWidth="1"/>
    <col min="3074" max="3074" width="11.26953125" style="1" bestFit="1" customWidth="1"/>
    <col min="3075" max="3075" width="6.7265625" style="1" customWidth="1"/>
    <col min="3076" max="3076" width="22.26953125" style="1" customWidth="1"/>
    <col min="3077" max="3077" width="11.26953125" style="1" customWidth="1"/>
    <col min="3078" max="3078" width="19.1796875" style="1" customWidth="1"/>
    <col min="3079" max="3079" width="24" style="1" customWidth="1"/>
    <col min="3080" max="3080" width="19" style="1" bestFit="1" customWidth="1"/>
    <col min="3081" max="3081" width="9" style="1" bestFit="1" customWidth="1"/>
    <col min="3082" max="3082" width="15.1796875" style="1" bestFit="1" customWidth="1"/>
    <col min="3083" max="3328" width="9.1796875" style="1"/>
    <col min="3329" max="3329" width="3.54296875" style="1" bestFit="1" customWidth="1"/>
    <col min="3330" max="3330" width="11.26953125" style="1" bestFit="1" customWidth="1"/>
    <col min="3331" max="3331" width="6.7265625" style="1" customWidth="1"/>
    <col min="3332" max="3332" width="22.26953125" style="1" customWidth="1"/>
    <col min="3333" max="3333" width="11.26953125" style="1" customWidth="1"/>
    <col min="3334" max="3334" width="19.1796875" style="1" customWidth="1"/>
    <col min="3335" max="3335" width="24" style="1" customWidth="1"/>
    <col min="3336" max="3336" width="19" style="1" bestFit="1" customWidth="1"/>
    <col min="3337" max="3337" width="9" style="1" bestFit="1" customWidth="1"/>
    <col min="3338" max="3338" width="15.1796875" style="1" bestFit="1" customWidth="1"/>
    <col min="3339" max="3584" width="9.1796875" style="1"/>
    <col min="3585" max="3585" width="3.54296875" style="1" bestFit="1" customWidth="1"/>
    <col min="3586" max="3586" width="11.26953125" style="1" bestFit="1" customWidth="1"/>
    <col min="3587" max="3587" width="6.7265625" style="1" customWidth="1"/>
    <col min="3588" max="3588" width="22.26953125" style="1" customWidth="1"/>
    <col min="3589" max="3589" width="11.26953125" style="1" customWidth="1"/>
    <col min="3590" max="3590" width="19.1796875" style="1" customWidth="1"/>
    <col min="3591" max="3591" width="24" style="1" customWidth="1"/>
    <col min="3592" max="3592" width="19" style="1" bestFit="1" customWidth="1"/>
    <col min="3593" max="3593" width="9" style="1" bestFit="1" customWidth="1"/>
    <col min="3594" max="3594" width="15.1796875" style="1" bestFit="1" customWidth="1"/>
    <col min="3595" max="3840" width="9.1796875" style="1"/>
    <col min="3841" max="3841" width="3.54296875" style="1" bestFit="1" customWidth="1"/>
    <col min="3842" max="3842" width="11.26953125" style="1" bestFit="1" customWidth="1"/>
    <col min="3843" max="3843" width="6.7265625" style="1" customWidth="1"/>
    <col min="3844" max="3844" width="22.26953125" style="1" customWidth="1"/>
    <col min="3845" max="3845" width="11.26953125" style="1" customWidth="1"/>
    <col min="3846" max="3846" width="19.1796875" style="1" customWidth="1"/>
    <col min="3847" max="3847" width="24" style="1" customWidth="1"/>
    <col min="3848" max="3848" width="19" style="1" bestFit="1" customWidth="1"/>
    <col min="3849" max="3849" width="9" style="1" bestFit="1" customWidth="1"/>
    <col min="3850" max="3850" width="15.1796875" style="1" bestFit="1" customWidth="1"/>
    <col min="3851" max="4096" width="9.1796875" style="1"/>
    <col min="4097" max="4097" width="3.54296875" style="1" bestFit="1" customWidth="1"/>
    <col min="4098" max="4098" width="11.26953125" style="1" bestFit="1" customWidth="1"/>
    <col min="4099" max="4099" width="6.7265625" style="1" customWidth="1"/>
    <col min="4100" max="4100" width="22.26953125" style="1" customWidth="1"/>
    <col min="4101" max="4101" width="11.26953125" style="1" customWidth="1"/>
    <col min="4102" max="4102" width="19.1796875" style="1" customWidth="1"/>
    <col min="4103" max="4103" width="24" style="1" customWidth="1"/>
    <col min="4104" max="4104" width="19" style="1" bestFit="1" customWidth="1"/>
    <col min="4105" max="4105" width="9" style="1" bestFit="1" customWidth="1"/>
    <col min="4106" max="4106" width="15.1796875" style="1" bestFit="1" customWidth="1"/>
    <col min="4107" max="4352" width="9.1796875" style="1"/>
    <col min="4353" max="4353" width="3.54296875" style="1" bestFit="1" customWidth="1"/>
    <col min="4354" max="4354" width="11.26953125" style="1" bestFit="1" customWidth="1"/>
    <col min="4355" max="4355" width="6.7265625" style="1" customWidth="1"/>
    <col min="4356" max="4356" width="22.26953125" style="1" customWidth="1"/>
    <col min="4357" max="4357" width="11.26953125" style="1" customWidth="1"/>
    <col min="4358" max="4358" width="19.1796875" style="1" customWidth="1"/>
    <col min="4359" max="4359" width="24" style="1" customWidth="1"/>
    <col min="4360" max="4360" width="19" style="1" bestFit="1" customWidth="1"/>
    <col min="4361" max="4361" width="9" style="1" bestFit="1" customWidth="1"/>
    <col min="4362" max="4362" width="15.1796875" style="1" bestFit="1" customWidth="1"/>
    <col min="4363" max="4608" width="9.1796875" style="1"/>
    <col min="4609" max="4609" width="3.54296875" style="1" bestFit="1" customWidth="1"/>
    <col min="4610" max="4610" width="11.26953125" style="1" bestFit="1" customWidth="1"/>
    <col min="4611" max="4611" width="6.7265625" style="1" customWidth="1"/>
    <col min="4612" max="4612" width="22.26953125" style="1" customWidth="1"/>
    <col min="4613" max="4613" width="11.26953125" style="1" customWidth="1"/>
    <col min="4614" max="4614" width="19.1796875" style="1" customWidth="1"/>
    <col min="4615" max="4615" width="24" style="1" customWidth="1"/>
    <col min="4616" max="4616" width="19" style="1" bestFit="1" customWidth="1"/>
    <col min="4617" max="4617" width="9" style="1" bestFit="1" customWidth="1"/>
    <col min="4618" max="4618" width="15.1796875" style="1" bestFit="1" customWidth="1"/>
    <col min="4619" max="4864" width="9.1796875" style="1"/>
    <col min="4865" max="4865" width="3.54296875" style="1" bestFit="1" customWidth="1"/>
    <col min="4866" max="4866" width="11.26953125" style="1" bestFit="1" customWidth="1"/>
    <col min="4867" max="4867" width="6.7265625" style="1" customWidth="1"/>
    <col min="4868" max="4868" width="22.26953125" style="1" customWidth="1"/>
    <col min="4869" max="4869" width="11.26953125" style="1" customWidth="1"/>
    <col min="4870" max="4870" width="19.1796875" style="1" customWidth="1"/>
    <col min="4871" max="4871" width="24" style="1" customWidth="1"/>
    <col min="4872" max="4872" width="19" style="1" bestFit="1" customWidth="1"/>
    <col min="4873" max="4873" width="9" style="1" bestFit="1" customWidth="1"/>
    <col min="4874" max="4874" width="15.1796875" style="1" bestFit="1" customWidth="1"/>
    <col min="4875" max="5120" width="9.1796875" style="1"/>
    <col min="5121" max="5121" width="3.54296875" style="1" bestFit="1" customWidth="1"/>
    <col min="5122" max="5122" width="11.26953125" style="1" bestFit="1" customWidth="1"/>
    <col min="5123" max="5123" width="6.7265625" style="1" customWidth="1"/>
    <col min="5124" max="5124" width="22.26953125" style="1" customWidth="1"/>
    <col min="5125" max="5125" width="11.26953125" style="1" customWidth="1"/>
    <col min="5126" max="5126" width="19.1796875" style="1" customWidth="1"/>
    <col min="5127" max="5127" width="24" style="1" customWidth="1"/>
    <col min="5128" max="5128" width="19" style="1" bestFit="1" customWidth="1"/>
    <col min="5129" max="5129" width="9" style="1" bestFit="1" customWidth="1"/>
    <col min="5130" max="5130" width="15.1796875" style="1" bestFit="1" customWidth="1"/>
    <col min="5131" max="5376" width="9.1796875" style="1"/>
    <col min="5377" max="5377" width="3.54296875" style="1" bestFit="1" customWidth="1"/>
    <col min="5378" max="5378" width="11.26953125" style="1" bestFit="1" customWidth="1"/>
    <col min="5379" max="5379" width="6.7265625" style="1" customWidth="1"/>
    <col min="5380" max="5380" width="22.26953125" style="1" customWidth="1"/>
    <col min="5381" max="5381" width="11.26953125" style="1" customWidth="1"/>
    <col min="5382" max="5382" width="19.1796875" style="1" customWidth="1"/>
    <col min="5383" max="5383" width="24" style="1" customWidth="1"/>
    <col min="5384" max="5384" width="19" style="1" bestFit="1" customWidth="1"/>
    <col min="5385" max="5385" width="9" style="1" bestFit="1" customWidth="1"/>
    <col min="5386" max="5386" width="15.1796875" style="1" bestFit="1" customWidth="1"/>
    <col min="5387" max="5632" width="9.1796875" style="1"/>
    <col min="5633" max="5633" width="3.54296875" style="1" bestFit="1" customWidth="1"/>
    <col min="5634" max="5634" width="11.26953125" style="1" bestFit="1" customWidth="1"/>
    <col min="5635" max="5635" width="6.7265625" style="1" customWidth="1"/>
    <col min="5636" max="5636" width="22.26953125" style="1" customWidth="1"/>
    <col min="5637" max="5637" width="11.26953125" style="1" customWidth="1"/>
    <col min="5638" max="5638" width="19.1796875" style="1" customWidth="1"/>
    <col min="5639" max="5639" width="24" style="1" customWidth="1"/>
    <col min="5640" max="5640" width="19" style="1" bestFit="1" customWidth="1"/>
    <col min="5641" max="5641" width="9" style="1" bestFit="1" customWidth="1"/>
    <col min="5642" max="5642" width="15.1796875" style="1" bestFit="1" customWidth="1"/>
    <col min="5643" max="5888" width="9.1796875" style="1"/>
    <col min="5889" max="5889" width="3.54296875" style="1" bestFit="1" customWidth="1"/>
    <col min="5890" max="5890" width="11.26953125" style="1" bestFit="1" customWidth="1"/>
    <col min="5891" max="5891" width="6.7265625" style="1" customWidth="1"/>
    <col min="5892" max="5892" width="22.26953125" style="1" customWidth="1"/>
    <col min="5893" max="5893" width="11.26953125" style="1" customWidth="1"/>
    <col min="5894" max="5894" width="19.1796875" style="1" customWidth="1"/>
    <col min="5895" max="5895" width="24" style="1" customWidth="1"/>
    <col min="5896" max="5896" width="19" style="1" bestFit="1" customWidth="1"/>
    <col min="5897" max="5897" width="9" style="1" bestFit="1" customWidth="1"/>
    <col min="5898" max="5898" width="15.1796875" style="1" bestFit="1" customWidth="1"/>
    <col min="5899" max="6144" width="9.1796875" style="1"/>
    <col min="6145" max="6145" width="3.54296875" style="1" bestFit="1" customWidth="1"/>
    <col min="6146" max="6146" width="11.26953125" style="1" bestFit="1" customWidth="1"/>
    <col min="6147" max="6147" width="6.7265625" style="1" customWidth="1"/>
    <col min="6148" max="6148" width="22.26953125" style="1" customWidth="1"/>
    <col min="6149" max="6149" width="11.26953125" style="1" customWidth="1"/>
    <col min="6150" max="6150" width="19.1796875" style="1" customWidth="1"/>
    <col min="6151" max="6151" width="24" style="1" customWidth="1"/>
    <col min="6152" max="6152" width="19" style="1" bestFit="1" customWidth="1"/>
    <col min="6153" max="6153" width="9" style="1" bestFit="1" customWidth="1"/>
    <col min="6154" max="6154" width="15.1796875" style="1" bestFit="1" customWidth="1"/>
    <col min="6155" max="6400" width="9.1796875" style="1"/>
    <col min="6401" max="6401" width="3.54296875" style="1" bestFit="1" customWidth="1"/>
    <col min="6402" max="6402" width="11.26953125" style="1" bestFit="1" customWidth="1"/>
    <col min="6403" max="6403" width="6.7265625" style="1" customWidth="1"/>
    <col min="6404" max="6404" width="22.26953125" style="1" customWidth="1"/>
    <col min="6405" max="6405" width="11.26953125" style="1" customWidth="1"/>
    <col min="6406" max="6406" width="19.1796875" style="1" customWidth="1"/>
    <col min="6407" max="6407" width="24" style="1" customWidth="1"/>
    <col min="6408" max="6408" width="19" style="1" bestFit="1" customWidth="1"/>
    <col min="6409" max="6409" width="9" style="1" bestFit="1" customWidth="1"/>
    <col min="6410" max="6410" width="15.1796875" style="1" bestFit="1" customWidth="1"/>
    <col min="6411" max="6656" width="9.1796875" style="1"/>
    <col min="6657" max="6657" width="3.54296875" style="1" bestFit="1" customWidth="1"/>
    <col min="6658" max="6658" width="11.26953125" style="1" bestFit="1" customWidth="1"/>
    <col min="6659" max="6659" width="6.7265625" style="1" customWidth="1"/>
    <col min="6660" max="6660" width="22.26953125" style="1" customWidth="1"/>
    <col min="6661" max="6661" width="11.26953125" style="1" customWidth="1"/>
    <col min="6662" max="6662" width="19.1796875" style="1" customWidth="1"/>
    <col min="6663" max="6663" width="24" style="1" customWidth="1"/>
    <col min="6664" max="6664" width="19" style="1" bestFit="1" customWidth="1"/>
    <col min="6665" max="6665" width="9" style="1" bestFit="1" customWidth="1"/>
    <col min="6666" max="6666" width="15.1796875" style="1" bestFit="1" customWidth="1"/>
    <col min="6667" max="6912" width="9.1796875" style="1"/>
    <col min="6913" max="6913" width="3.54296875" style="1" bestFit="1" customWidth="1"/>
    <col min="6914" max="6914" width="11.26953125" style="1" bestFit="1" customWidth="1"/>
    <col min="6915" max="6915" width="6.7265625" style="1" customWidth="1"/>
    <col min="6916" max="6916" width="22.26953125" style="1" customWidth="1"/>
    <col min="6917" max="6917" width="11.26953125" style="1" customWidth="1"/>
    <col min="6918" max="6918" width="19.1796875" style="1" customWidth="1"/>
    <col min="6919" max="6919" width="24" style="1" customWidth="1"/>
    <col min="6920" max="6920" width="19" style="1" bestFit="1" customWidth="1"/>
    <col min="6921" max="6921" width="9" style="1" bestFit="1" customWidth="1"/>
    <col min="6922" max="6922" width="15.1796875" style="1" bestFit="1" customWidth="1"/>
    <col min="6923" max="7168" width="9.1796875" style="1"/>
    <col min="7169" max="7169" width="3.54296875" style="1" bestFit="1" customWidth="1"/>
    <col min="7170" max="7170" width="11.26953125" style="1" bestFit="1" customWidth="1"/>
    <col min="7171" max="7171" width="6.7265625" style="1" customWidth="1"/>
    <col min="7172" max="7172" width="22.26953125" style="1" customWidth="1"/>
    <col min="7173" max="7173" width="11.26953125" style="1" customWidth="1"/>
    <col min="7174" max="7174" width="19.1796875" style="1" customWidth="1"/>
    <col min="7175" max="7175" width="24" style="1" customWidth="1"/>
    <col min="7176" max="7176" width="19" style="1" bestFit="1" customWidth="1"/>
    <col min="7177" max="7177" width="9" style="1" bestFit="1" customWidth="1"/>
    <col min="7178" max="7178" width="15.1796875" style="1" bestFit="1" customWidth="1"/>
    <col min="7179" max="7424" width="9.1796875" style="1"/>
    <col min="7425" max="7425" width="3.54296875" style="1" bestFit="1" customWidth="1"/>
    <col min="7426" max="7426" width="11.26953125" style="1" bestFit="1" customWidth="1"/>
    <col min="7427" max="7427" width="6.7265625" style="1" customWidth="1"/>
    <col min="7428" max="7428" width="22.26953125" style="1" customWidth="1"/>
    <col min="7429" max="7429" width="11.26953125" style="1" customWidth="1"/>
    <col min="7430" max="7430" width="19.1796875" style="1" customWidth="1"/>
    <col min="7431" max="7431" width="24" style="1" customWidth="1"/>
    <col min="7432" max="7432" width="19" style="1" bestFit="1" customWidth="1"/>
    <col min="7433" max="7433" width="9" style="1" bestFit="1" customWidth="1"/>
    <col min="7434" max="7434" width="15.1796875" style="1" bestFit="1" customWidth="1"/>
    <col min="7435" max="7680" width="9.1796875" style="1"/>
    <col min="7681" max="7681" width="3.54296875" style="1" bestFit="1" customWidth="1"/>
    <col min="7682" max="7682" width="11.26953125" style="1" bestFit="1" customWidth="1"/>
    <col min="7683" max="7683" width="6.7265625" style="1" customWidth="1"/>
    <col min="7684" max="7684" width="22.26953125" style="1" customWidth="1"/>
    <col min="7685" max="7685" width="11.26953125" style="1" customWidth="1"/>
    <col min="7686" max="7686" width="19.1796875" style="1" customWidth="1"/>
    <col min="7687" max="7687" width="24" style="1" customWidth="1"/>
    <col min="7688" max="7688" width="19" style="1" bestFit="1" customWidth="1"/>
    <col min="7689" max="7689" width="9" style="1" bestFit="1" customWidth="1"/>
    <col min="7690" max="7690" width="15.1796875" style="1" bestFit="1" customWidth="1"/>
    <col min="7691" max="7936" width="9.1796875" style="1"/>
    <col min="7937" max="7937" width="3.54296875" style="1" bestFit="1" customWidth="1"/>
    <col min="7938" max="7938" width="11.26953125" style="1" bestFit="1" customWidth="1"/>
    <col min="7939" max="7939" width="6.7265625" style="1" customWidth="1"/>
    <col min="7940" max="7940" width="22.26953125" style="1" customWidth="1"/>
    <col min="7941" max="7941" width="11.26953125" style="1" customWidth="1"/>
    <col min="7942" max="7942" width="19.1796875" style="1" customWidth="1"/>
    <col min="7943" max="7943" width="24" style="1" customWidth="1"/>
    <col min="7944" max="7944" width="19" style="1" bestFit="1" customWidth="1"/>
    <col min="7945" max="7945" width="9" style="1" bestFit="1" customWidth="1"/>
    <col min="7946" max="7946" width="15.1796875" style="1" bestFit="1" customWidth="1"/>
    <col min="7947" max="8192" width="9.1796875" style="1"/>
    <col min="8193" max="8193" width="3.54296875" style="1" bestFit="1" customWidth="1"/>
    <col min="8194" max="8194" width="11.26953125" style="1" bestFit="1" customWidth="1"/>
    <col min="8195" max="8195" width="6.7265625" style="1" customWidth="1"/>
    <col min="8196" max="8196" width="22.26953125" style="1" customWidth="1"/>
    <col min="8197" max="8197" width="11.26953125" style="1" customWidth="1"/>
    <col min="8198" max="8198" width="19.1796875" style="1" customWidth="1"/>
    <col min="8199" max="8199" width="24" style="1" customWidth="1"/>
    <col min="8200" max="8200" width="19" style="1" bestFit="1" customWidth="1"/>
    <col min="8201" max="8201" width="9" style="1" bestFit="1" customWidth="1"/>
    <col min="8202" max="8202" width="15.1796875" style="1" bestFit="1" customWidth="1"/>
    <col min="8203" max="8448" width="9.1796875" style="1"/>
    <col min="8449" max="8449" width="3.54296875" style="1" bestFit="1" customWidth="1"/>
    <col min="8450" max="8450" width="11.26953125" style="1" bestFit="1" customWidth="1"/>
    <col min="8451" max="8451" width="6.7265625" style="1" customWidth="1"/>
    <col min="8452" max="8452" width="22.26953125" style="1" customWidth="1"/>
    <col min="8453" max="8453" width="11.26953125" style="1" customWidth="1"/>
    <col min="8454" max="8454" width="19.1796875" style="1" customWidth="1"/>
    <col min="8455" max="8455" width="24" style="1" customWidth="1"/>
    <col min="8456" max="8456" width="19" style="1" bestFit="1" customWidth="1"/>
    <col min="8457" max="8457" width="9" style="1" bestFit="1" customWidth="1"/>
    <col min="8458" max="8458" width="15.1796875" style="1" bestFit="1" customWidth="1"/>
    <col min="8459" max="8704" width="9.1796875" style="1"/>
    <col min="8705" max="8705" width="3.54296875" style="1" bestFit="1" customWidth="1"/>
    <col min="8706" max="8706" width="11.26953125" style="1" bestFit="1" customWidth="1"/>
    <col min="8707" max="8707" width="6.7265625" style="1" customWidth="1"/>
    <col min="8708" max="8708" width="22.26953125" style="1" customWidth="1"/>
    <col min="8709" max="8709" width="11.26953125" style="1" customWidth="1"/>
    <col min="8710" max="8710" width="19.1796875" style="1" customWidth="1"/>
    <col min="8711" max="8711" width="24" style="1" customWidth="1"/>
    <col min="8712" max="8712" width="19" style="1" bestFit="1" customWidth="1"/>
    <col min="8713" max="8713" width="9" style="1" bestFit="1" customWidth="1"/>
    <col min="8714" max="8714" width="15.1796875" style="1" bestFit="1" customWidth="1"/>
    <col min="8715" max="8960" width="9.1796875" style="1"/>
    <col min="8961" max="8961" width="3.54296875" style="1" bestFit="1" customWidth="1"/>
    <col min="8962" max="8962" width="11.26953125" style="1" bestFit="1" customWidth="1"/>
    <col min="8963" max="8963" width="6.7265625" style="1" customWidth="1"/>
    <col min="8964" max="8964" width="22.26953125" style="1" customWidth="1"/>
    <col min="8965" max="8965" width="11.26953125" style="1" customWidth="1"/>
    <col min="8966" max="8966" width="19.1796875" style="1" customWidth="1"/>
    <col min="8967" max="8967" width="24" style="1" customWidth="1"/>
    <col min="8968" max="8968" width="19" style="1" bestFit="1" customWidth="1"/>
    <col min="8969" max="8969" width="9" style="1" bestFit="1" customWidth="1"/>
    <col min="8970" max="8970" width="15.1796875" style="1" bestFit="1" customWidth="1"/>
    <col min="8971" max="9216" width="9.1796875" style="1"/>
    <col min="9217" max="9217" width="3.54296875" style="1" bestFit="1" customWidth="1"/>
    <col min="9218" max="9218" width="11.26953125" style="1" bestFit="1" customWidth="1"/>
    <col min="9219" max="9219" width="6.7265625" style="1" customWidth="1"/>
    <col min="9220" max="9220" width="22.26953125" style="1" customWidth="1"/>
    <col min="9221" max="9221" width="11.26953125" style="1" customWidth="1"/>
    <col min="9222" max="9222" width="19.1796875" style="1" customWidth="1"/>
    <col min="9223" max="9223" width="24" style="1" customWidth="1"/>
    <col min="9224" max="9224" width="19" style="1" bestFit="1" customWidth="1"/>
    <col min="9225" max="9225" width="9" style="1" bestFit="1" customWidth="1"/>
    <col min="9226" max="9226" width="15.1796875" style="1" bestFit="1" customWidth="1"/>
    <col min="9227" max="9472" width="9.1796875" style="1"/>
    <col min="9473" max="9473" width="3.54296875" style="1" bestFit="1" customWidth="1"/>
    <col min="9474" max="9474" width="11.26953125" style="1" bestFit="1" customWidth="1"/>
    <col min="9475" max="9475" width="6.7265625" style="1" customWidth="1"/>
    <col min="9476" max="9476" width="22.26953125" style="1" customWidth="1"/>
    <col min="9477" max="9477" width="11.26953125" style="1" customWidth="1"/>
    <col min="9478" max="9478" width="19.1796875" style="1" customWidth="1"/>
    <col min="9479" max="9479" width="24" style="1" customWidth="1"/>
    <col min="9480" max="9480" width="19" style="1" bestFit="1" customWidth="1"/>
    <col min="9481" max="9481" width="9" style="1" bestFit="1" customWidth="1"/>
    <col min="9482" max="9482" width="15.1796875" style="1" bestFit="1" customWidth="1"/>
    <col min="9483" max="9728" width="9.1796875" style="1"/>
    <col min="9729" max="9729" width="3.54296875" style="1" bestFit="1" customWidth="1"/>
    <col min="9730" max="9730" width="11.26953125" style="1" bestFit="1" customWidth="1"/>
    <col min="9731" max="9731" width="6.7265625" style="1" customWidth="1"/>
    <col min="9732" max="9732" width="22.26953125" style="1" customWidth="1"/>
    <col min="9733" max="9733" width="11.26953125" style="1" customWidth="1"/>
    <col min="9734" max="9734" width="19.1796875" style="1" customWidth="1"/>
    <col min="9735" max="9735" width="24" style="1" customWidth="1"/>
    <col min="9736" max="9736" width="19" style="1" bestFit="1" customWidth="1"/>
    <col min="9737" max="9737" width="9" style="1" bestFit="1" customWidth="1"/>
    <col min="9738" max="9738" width="15.1796875" style="1" bestFit="1" customWidth="1"/>
    <col min="9739" max="9984" width="9.1796875" style="1"/>
    <col min="9985" max="9985" width="3.54296875" style="1" bestFit="1" customWidth="1"/>
    <col min="9986" max="9986" width="11.26953125" style="1" bestFit="1" customWidth="1"/>
    <col min="9987" max="9987" width="6.7265625" style="1" customWidth="1"/>
    <col min="9988" max="9988" width="22.26953125" style="1" customWidth="1"/>
    <col min="9989" max="9989" width="11.26953125" style="1" customWidth="1"/>
    <col min="9990" max="9990" width="19.1796875" style="1" customWidth="1"/>
    <col min="9991" max="9991" width="24" style="1" customWidth="1"/>
    <col min="9992" max="9992" width="19" style="1" bestFit="1" customWidth="1"/>
    <col min="9993" max="9993" width="9" style="1" bestFit="1" customWidth="1"/>
    <col min="9994" max="9994" width="15.1796875" style="1" bestFit="1" customWidth="1"/>
    <col min="9995" max="10240" width="9.1796875" style="1"/>
    <col min="10241" max="10241" width="3.54296875" style="1" bestFit="1" customWidth="1"/>
    <col min="10242" max="10242" width="11.26953125" style="1" bestFit="1" customWidth="1"/>
    <col min="10243" max="10243" width="6.7265625" style="1" customWidth="1"/>
    <col min="10244" max="10244" width="22.26953125" style="1" customWidth="1"/>
    <col min="10245" max="10245" width="11.26953125" style="1" customWidth="1"/>
    <col min="10246" max="10246" width="19.1796875" style="1" customWidth="1"/>
    <col min="10247" max="10247" width="24" style="1" customWidth="1"/>
    <col min="10248" max="10248" width="19" style="1" bestFit="1" customWidth="1"/>
    <col min="10249" max="10249" width="9" style="1" bestFit="1" customWidth="1"/>
    <col min="10250" max="10250" width="15.1796875" style="1" bestFit="1" customWidth="1"/>
    <col min="10251" max="10496" width="9.1796875" style="1"/>
    <col min="10497" max="10497" width="3.54296875" style="1" bestFit="1" customWidth="1"/>
    <col min="10498" max="10498" width="11.26953125" style="1" bestFit="1" customWidth="1"/>
    <col min="10499" max="10499" width="6.7265625" style="1" customWidth="1"/>
    <col min="10500" max="10500" width="22.26953125" style="1" customWidth="1"/>
    <col min="10501" max="10501" width="11.26953125" style="1" customWidth="1"/>
    <col min="10502" max="10502" width="19.1796875" style="1" customWidth="1"/>
    <col min="10503" max="10503" width="24" style="1" customWidth="1"/>
    <col min="10504" max="10504" width="19" style="1" bestFit="1" customWidth="1"/>
    <col min="10505" max="10505" width="9" style="1" bestFit="1" customWidth="1"/>
    <col min="10506" max="10506" width="15.1796875" style="1" bestFit="1" customWidth="1"/>
    <col min="10507" max="10752" width="9.1796875" style="1"/>
    <col min="10753" max="10753" width="3.54296875" style="1" bestFit="1" customWidth="1"/>
    <col min="10754" max="10754" width="11.26953125" style="1" bestFit="1" customWidth="1"/>
    <col min="10755" max="10755" width="6.7265625" style="1" customWidth="1"/>
    <col min="10756" max="10756" width="22.26953125" style="1" customWidth="1"/>
    <col min="10757" max="10757" width="11.26953125" style="1" customWidth="1"/>
    <col min="10758" max="10758" width="19.1796875" style="1" customWidth="1"/>
    <col min="10759" max="10759" width="24" style="1" customWidth="1"/>
    <col min="10760" max="10760" width="19" style="1" bestFit="1" customWidth="1"/>
    <col min="10761" max="10761" width="9" style="1" bestFit="1" customWidth="1"/>
    <col min="10762" max="10762" width="15.1796875" style="1" bestFit="1" customWidth="1"/>
    <col min="10763" max="11008" width="9.1796875" style="1"/>
    <col min="11009" max="11009" width="3.54296875" style="1" bestFit="1" customWidth="1"/>
    <col min="11010" max="11010" width="11.26953125" style="1" bestFit="1" customWidth="1"/>
    <col min="11011" max="11011" width="6.7265625" style="1" customWidth="1"/>
    <col min="11012" max="11012" width="22.26953125" style="1" customWidth="1"/>
    <col min="11013" max="11013" width="11.26953125" style="1" customWidth="1"/>
    <col min="11014" max="11014" width="19.1796875" style="1" customWidth="1"/>
    <col min="11015" max="11015" width="24" style="1" customWidth="1"/>
    <col min="11016" max="11016" width="19" style="1" bestFit="1" customWidth="1"/>
    <col min="11017" max="11017" width="9" style="1" bestFit="1" customWidth="1"/>
    <col min="11018" max="11018" width="15.1796875" style="1" bestFit="1" customWidth="1"/>
    <col min="11019" max="11264" width="9.1796875" style="1"/>
    <col min="11265" max="11265" width="3.54296875" style="1" bestFit="1" customWidth="1"/>
    <col min="11266" max="11266" width="11.26953125" style="1" bestFit="1" customWidth="1"/>
    <col min="11267" max="11267" width="6.7265625" style="1" customWidth="1"/>
    <col min="11268" max="11268" width="22.26953125" style="1" customWidth="1"/>
    <col min="11269" max="11269" width="11.26953125" style="1" customWidth="1"/>
    <col min="11270" max="11270" width="19.1796875" style="1" customWidth="1"/>
    <col min="11271" max="11271" width="24" style="1" customWidth="1"/>
    <col min="11272" max="11272" width="19" style="1" bestFit="1" customWidth="1"/>
    <col min="11273" max="11273" width="9" style="1" bestFit="1" customWidth="1"/>
    <col min="11274" max="11274" width="15.1796875" style="1" bestFit="1" customWidth="1"/>
    <col min="11275" max="11520" width="9.1796875" style="1"/>
    <col min="11521" max="11521" width="3.54296875" style="1" bestFit="1" customWidth="1"/>
    <col min="11522" max="11522" width="11.26953125" style="1" bestFit="1" customWidth="1"/>
    <col min="11523" max="11523" width="6.7265625" style="1" customWidth="1"/>
    <col min="11524" max="11524" width="22.26953125" style="1" customWidth="1"/>
    <col min="11525" max="11525" width="11.26953125" style="1" customWidth="1"/>
    <col min="11526" max="11526" width="19.1796875" style="1" customWidth="1"/>
    <col min="11527" max="11527" width="24" style="1" customWidth="1"/>
    <col min="11528" max="11528" width="19" style="1" bestFit="1" customWidth="1"/>
    <col min="11529" max="11529" width="9" style="1" bestFit="1" customWidth="1"/>
    <col min="11530" max="11530" width="15.1796875" style="1" bestFit="1" customWidth="1"/>
    <col min="11531" max="11776" width="9.1796875" style="1"/>
    <col min="11777" max="11777" width="3.54296875" style="1" bestFit="1" customWidth="1"/>
    <col min="11778" max="11778" width="11.26953125" style="1" bestFit="1" customWidth="1"/>
    <col min="11779" max="11779" width="6.7265625" style="1" customWidth="1"/>
    <col min="11780" max="11780" width="22.26953125" style="1" customWidth="1"/>
    <col min="11781" max="11781" width="11.26953125" style="1" customWidth="1"/>
    <col min="11782" max="11782" width="19.1796875" style="1" customWidth="1"/>
    <col min="11783" max="11783" width="24" style="1" customWidth="1"/>
    <col min="11784" max="11784" width="19" style="1" bestFit="1" customWidth="1"/>
    <col min="11785" max="11785" width="9" style="1" bestFit="1" customWidth="1"/>
    <col min="11786" max="11786" width="15.1796875" style="1" bestFit="1" customWidth="1"/>
    <col min="11787" max="12032" width="9.1796875" style="1"/>
    <col min="12033" max="12033" width="3.54296875" style="1" bestFit="1" customWidth="1"/>
    <col min="12034" max="12034" width="11.26953125" style="1" bestFit="1" customWidth="1"/>
    <col min="12035" max="12035" width="6.7265625" style="1" customWidth="1"/>
    <col min="12036" max="12036" width="22.26953125" style="1" customWidth="1"/>
    <col min="12037" max="12037" width="11.26953125" style="1" customWidth="1"/>
    <col min="12038" max="12038" width="19.1796875" style="1" customWidth="1"/>
    <col min="12039" max="12039" width="24" style="1" customWidth="1"/>
    <col min="12040" max="12040" width="19" style="1" bestFit="1" customWidth="1"/>
    <col min="12041" max="12041" width="9" style="1" bestFit="1" customWidth="1"/>
    <col min="12042" max="12042" width="15.1796875" style="1" bestFit="1" customWidth="1"/>
    <col min="12043" max="12288" width="9.1796875" style="1"/>
    <col min="12289" max="12289" width="3.54296875" style="1" bestFit="1" customWidth="1"/>
    <col min="12290" max="12290" width="11.26953125" style="1" bestFit="1" customWidth="1"/>
    <col min="12291" max="12291" width="6.7265625" style="1" customWidth="1"/>
    <col min="12292" max="12292" width="22.26953125" style="1" customWidth="1"/>
    <col min="12293" max="12293" width="11.26953125" style="1" customWidth="1"/>
    <col min="12294" max="12294" width="19.1796875" style="1" customWidth="1"/>
    <col min="12295" max="12295" width="24" style="1" customWidth="1"/>
    <col min="12296" max="12296" width="19" style="1" bestFit="1" customWidth="1"/>
    <col min="12297" max="12297" width="9" style="1" bestFit="1" customWidth="1"/>
    <col min="12298" max="12298" width="15.1796875" style="1" bestFit="1" customWidth="1"/>
    <col min="12299" max="12544" width="9.1796875" style="1"/>
    <col min="12545" max="12545" width="3.54296875" style="1" bestFit="1" customWidth="1"/>
    <col min="12546" max="12546" width="11.26953125" style="1" bestFit="1" customWidth="1"/>
    <col min="12547" max="12547" width="6.7265625" style="1" customWidth="1"/>
    <col min="12548" max="12548" width="22.26953125" style="1" customWidth="1"/>
    <col min="12549" max="12549" width="11.26953125" style="1" customWidth="1"/>
    <col min="12550" max="12550" width="19.1796875" style="1" customWidth="1"/>
    <col min="12551" max="12551" width="24" style="1" customWidth="1"/>
    <col min="12552" max="12552" width="19" style="1" bestFit="1" customWidth="1"/>
    <col min="12553" max="12553" width="9" style="1" bestFit="1" customWidth="1"/>
    <col min="12554" max="12554" width="15.1796875" style="1" bestFit="1" customWidth="1"/>
    <col min="12555" max="12800" width="9.1796875" style="1"/>
    <col min="12801" max="12801" width="3.54296875" style="1" bestFit="1" customWidth="1"/>
    <col min="12802" max="12802" width="11.26953125" style="1" bestFit="1" customWidth="1"/>
    <col min="12803" max="12803" width="6.7265625" style="1" customWidth="1"/>
    <col min="12804" max="12804" width="22.26953125" style="1" customWidth="1"/>
    <col min="12805" max="12805" width="11.26953125" style="1" customWidth="1"/>
    <col min="12806" max="12806" width="19.1796875" style="1" customWidth="1"/>
    <col min="12807" max="12807" width="24" style="1" customWidth="1"/>
    <col min="12808" max="12808" width="19" style="1" bestFit="1" customWidth="1"/>
    <col min="12809" max="12809" width="9" style="1" bestFit="1" customWidth="1"/>
    <col min="12810" max="12810" width="15.1796875" style="1" bestFit="1" customWidth="1"/>
    <col min="12811" max="13056" width="9.1796875" style="1"/>
    <col min="13057" max="13057" width="3.54296875" style="1" bestFit="1" customWidth="1"/>
    <col min="13058" max="13058" width="11.26953125" style="1" bestFit="1" customWidth="1"/>
    <col min="13059" max="13059" width="6.7265625" style="1" customWidth="1"/>
    <col min="13060" max="13060" width="22.26953125" style="1" customWidth="1"/>
    <col min="13061" max="13061" width="11.26953125" style="1" customWidth="1"/>
    <col min="13062" max="13062" width="19.1796875" style="1" customWidth="1"/>
    <col min="13063" max="13063" width="24" style="1" customWidth="1"/>
    <col min="13064" max="13064" width="19" style="1" bestFit="1" customWidth="1"/>
    <col min="13065" max="13065" width="9" style="1" bestFit="1" customWidth="1"/>
    <col min="13066" max="13066" width="15.1796875" style="1" bestFit="1" customWidth="1"/>
    <col min="13067" max="13312" width="9.1796875" style="1"/>
    <col min="13313" max="13313" width="3.54296875" style="1" bestFit="1" customWidth="1"/>
    <col min="13314" max="13314" width="11.26953125" style="1" bestFit="1" customWidth="1"/>
    <col min="13315" max="13315" width="6.7265625" style="1" customWidth="1"/>
    <col min="13316" max="13316" width="22.26953125" style="1" customWidth="1"/>
    <col min="13317" max="13317" width="11.26953125" style="1" customWidth="1"/>
    <col min="13318" max="13318" width="19.1796875" style="1" customWidth="1"/>
    <col min="13319" max="13319" width="24" style="1" customWidth="1"/>
    <col min="13320" max="13320" width="19" style="1" bestFit="1" customWidth="1"/>
    <col min="13321" max="13321" width="9" style="1" bestFit="1" customWidth="1"/>
    <col min="13322" max="13322" width="15.1796875" style="1" bestFit="1" customWidth="1"/>
    <col min="13323" max="13568" width="9.1796875" style="1"/>
    <col min="13569" max="13569" width="3.54296875" style="1" bestFit="1" customWidth="1"/>
    <col min="13570" max="13570" width="11.26953125" style="1" bestFit="1" customWidth="1"/>
    <col min="13571" max="13571" width="6.7265625" style="1" customWidth="1"/>
    <col min="13572" max="13572" width="22.26953125" style="1" customWidth="1"/>
    <col min="13573" max="13573" width="11.26953125" style="1" customWidth="1"/>
    <col min="13574" max="13574" width="19.1796875" style="1" customWidth="1"/>
    <col min="13575" max="13575" width="24" style="1" customWidth="1"/>
    <col min="13576" max="13576" width="19" style="1" bestFit="1" customWidth="1"/>
    <col min="13577" max="13577" width="9" style="1" bestFit="1" customWidth="1"/>
    <col min="13578" max="13578" width="15.1796875" style="1" bestFit="1" customWidth="1"/>
    <col min="13579" max="13824" width="9.1796875" style="1"/>
    <col min="13825" max="13825" width="3.54296875" style="1" bestFit="1" customWidth="1"/>
    <col min="13826" max="13826" width="11.26953125" style="1" bestFit="1" customWidth="1"/>
    <col min="13827" max="13827" width="6.7265625" style="1" customWidth="1"/>
    <col min="13828" max="13828" width="22.26953125" style="1" customWidth="1"/>
    <col min="13829" max="13829" width="11.26953125" style="1" customWidth="1"/>
    <col min="13830" max="13830" width="19.1796875" style="1" customWidth="1"/>
    <col min="13831" max="13831" width="24" style="1" customWidth="1"/>
    <col min="13832" max="13832" width="19" style="1" bestFit="1" customWidth="1"/>
    <col min="13833" max="13833" width="9" style="1" bestFit="1" customWidth="1"/>
    <col min="13834" max="13834" width="15.1796875" style="1" bestFit="1" customWidth="1"/>
    <col min="13835" max="14080" width="9.1796875" style="1"/>
    <col min="14081" max="14081" width="3.54296875" style="1" bestFit="1" customWidth="1"/>
    <col min="14082" max="14082" width="11.26953125" style="1" bestFit="1" customWidth="1"/>
    <col min="14083" max="14083" width="6.7265625" style="1" customWidth="1"/>
    <col min="14084" max="14084" width="22.26953125" style="1" customWidth="1"/>
    <col min="14085" max="14085" width="11.26953125" style="1" customWidth="1"/>
    <col min="14086" max="14086" width="19.1796875" style="1" customWidth="1"/>
    <col min="14087" max="14087" width="24" style="1" customWidth="1"/>
    <col min="14088" max="14088" width="19" style="1" bestFit="1" customWidth="1"/>
    <col min="14089" max="14089" width="9" style="1" bestFit="1" customWidth="1"/>
    <col min="14090" max="14090" width="15.1796875" style="1" bestFit="1" customWidth="1"/>
    <col min="14091" max="14336" width="9.1796875" style="1"/>
    <col min="14337" max="14337" width="3.54296875" style="1" bestFit="1" customWidth="1"/>
    <col min="14338" max="14338" width="11.26953125" style="1" bestFit="1" customWidth="1"/>
    <col min="14339" max="14339" width="6.7265625" style="1" customWidth="1"/>
    <col min="14340" max="14340" width="22.26953125" style="1" customWidth="1"/>
    <col min="14341" max="14341" width="11.26953125" style="1" customWidth="1"/>
    <col min="14342" max="14342" width="19.1796875" style="1" customWidth="1"/>
    <col min="14343" max="14343" width="24" style="1" customWidth="1"/>
    <col min="14344" max="14344" width="19" style="1" bestFit="1" customWidth="1"/>
    <col min="14345" max="14345" width="9" style="1" bestFit="1" customWidth="1"/>
    <col min="14346" max="14346" width="15.1796875" style="1" bestFit="1" customWidth="1"/>
    <col min="14347" max="14592" width="9.1796875" style="1"/>
    <col min="14593" max="14593" width="3.54296875" style="1" bestFit="1" customWidth="1"/>
    <col min="14594" max="14594" width="11.26953125" style="1" bestFit="1" customWidth="1"/>
    <col min="14595" max="14595" width="6.7265625" style="1" customWidth="1"/>
    <col min="14596" max="14596" width="22.26953125" style="1" customWidth="1"/>
    <col min="14597" max="14597" width="11.26953125" style="1" customWidth="1"/>
    <col min="14598" max="14598" width="19.1796875" style="1" customWidth="1"/>
    <col min="14599" max="14599" width="24" style="1" customWidth="1"/>
    <col min="14600" max="14600" width="19" style="1" bestFit="1" customWidth="1"/>
    <col min="14601" max="14601" width="9" style="1" bestFit="1" customWidth="1"/>
    <col min="14602" max="14602" width="15.1796875" style="1" bestFit="1" customWidth="1"/>
    <col min="14603" max="14848" width="9.1796875" style="1"/>
    <col min="14849" max="14849" width="3.54296875" style="1" bestFit="1" customWidth="1"/>
    <col min="14850" max="14850" width="11.26953125" style="1" bestFit="1" customWidth="1"/>
    <col min="14851" max="14851" width="6.7265625" style="1" customWidth="1"/>
    <col min="14852" max="14852" width="22.26953125" style="1" customWidth="1"/>
    <col min="14853" max="14853" width="11.26953125" style="1" customWidth="1"/>
    <col min="14854" max="14854" width="19.1796875" style="1" customWidth="1"/>
    <col min="14855" max="14855" width="24" style="1" customWidth="1"/>
    <col min="14856" max="14856" width="19" style="1" bestFit="1" customWidth="1"/>
    <col min="14857" max="14857" width="9" style="1" bestFit="1" customWidth="1"/>
    <col min="14858" max="14858" width="15.1796875" style="1" bestFit="1" customWidth="1"/>
    <col min="14859" max="15104" width="9.1796875" style="1"/>
    <col min="15105" max="15105" width="3.54296875" style="1" bestFit="1" customWidth="1"/>
    <col min="15106" max="15106" width="11.26953125" style="1" bestFit="1" customWidth="1"/>
    <col min="15107" max="15107" width="6.7265625" style="1" customWidth="1"/>
    <col min="15108" max="15108" width="22.26953125" style="1" customWidth="1"/>
    <col min="15109" max="15109" width="11.26953125" style="1" customWidth="1"/>
    <col min="15110" max="15110" width="19.1796875" style="1" customWidth="1"/>
    <col min="15111" max="15111" width="24" style="1" customWidth="1"/>
    <col min="15112" max="15112" width="19" style="1" bestFit="1" customWidth="1"/>
    <col min="15113" max="15113" width="9" style="1" bestFit="1" customWidth="1"/>
    <col min="15114" max="15114" width="15.1796875" style="1" bestFit="1" customWidth="1"/>
    <col min="15115" max="15360" width="9.1796875" style="1"/>
    <col min="15361" max="15361" width="3.54296875" style="1" bestFit="1" customWidth="1"/>
    <col min="15362" max="15362" width="11.26953125" style="1" bestFit="1" customWidth="1"/>
    <col min="15363" max="15363" width="6.7265625" style="1" customWidth="1"/>
    <col min="15364" max="15364" width="22.26953125" style="1" customWidth="1"/>
    <col min="15365" max="15365" width="11.26953125" style="1" customWidth="1"/>
    <col min="15366" max="15366" width="19.1796875" style="1" customWidth="1"/>
    <col min="15367" max="15367" width="24" style="1" customWidth="1"/>
    <col min="15368" max="15368" width="19" style="1" bestFit="1" customWidth="1"/>
    <col min="15369" max="15369" width="9" style="1" bestFit="1" customWidth="1"/>
    <col min="15370" max="15370" width="15.1796875" style="1" bestFit="1" customWidth="1"/>
    <col min="15371" max="15616" width="9.1796875" style="1"/>
    <col min="15617" max="15617" width="3.54296875" style="1" bestFit="1" customWidth="1"/>
    <col min="15618" max="15618" width="11.26953125" style="1" bestFit="1" customWidth="1"/>
    <col min="15619" max="15619" width="6.7265625" style="1" customWidth="1"/>
    <col min="15620" max="15620" width="22.26953125" style="1" customWidth="1"/>
    <col min="15621" max="15621" width="11.26953125" style="1" customWidth="1"/>
    <col min="15622" max="15622" width="19.1796875" style="1" customWidth="1"/>
    <col min="15623" max="15623" width="24" style="1" customWidth="1"/>
    <col min="15624" max="15624" width="19" style="1" bestFit="1" customWidth="1"/>
    <col min="15625" max="15625" width="9" style="1" bestFit="1" customWidth="1"/>
    <col min="15626" max="15626" width="15.1796875" style="1" bestFit="1" customWidth="1"/>
    <col min="15627" max="15872" width="9.1796875" style="1"/>
    <col min="15873" max="15873" width="3.54296875" style="1" bestFit="1" customWidth="1"/>
    <col min="15874" max="15874" width="11.26953125" style="1" bestFit="1" customWidth="1"/>
    <col min="15875" max="15875" width="6.7265625" style="1" customWidth="1"/>
    <col min="15876" max="15876" width="22.26953125" style="1" customWidth="1"/>
    <col min="15877" max="15877" width="11.26953125" style="1" customWidth="1"/>
    <col min="15878" max="15878" width="19.1796875" style="1" customWidth="1"/>
    <col min="15879" max="15879" width="24" style="1" customWidth="1"/>
    <col min="15880" max="15880" width="19" style="1" bestFit="1" customWidth="1"/>
    <col min="15881" max="15881" width="9" style="1" bestFit="1" customWidth="1"/>
    <col min="15882" max="15882" width="15.1796875" style="1" bestFit="1" customWidth="1"/>
    <col min="15883" max="16128" width="9.1796875" style="1"/>
    <col min="16129" max="16129" width="3.54296875" style="1" bestFit="1" customWidth="1"/>
    <col min="16130" max="16130" width="11.26953125" style="1" bestFit="1" customWidth="1"/>
    <col min="16131" max="16131" width="6.7265625" style="1" customWidth="1"/>
    <col min="16132" max="16132" width="22.26953125" style="1" customWidth="1"/>
    <col min="16133" max="16133" width="11.26953125" style="1" customWidth="1"/>
    <col min="16134" max="16134" width="19.1796875" style="1" customWidth="1"/>
    <col min="16135" max="16135" width="24" style="1" customWidth="1"/>
    <col min="16136" max="16136" width="19" style="1" bestFit="1" customWidth="1"/>
    <col min="16137" max="16137" width="9" style="1" bestFit="1" customWidth="1"/>
    <col min="16138" max="16138" width="15.1796875" style="1" bestFit="1" customWidth="1"/>
    <col min="16139" max="16384" width="9.1796875" style="1"/>
  </cols>
  <sheetData>
    <row r="1" spans="1:11" ht="21" x14ac:dyDescent="0.35">
      <c r="A1" s="4" t="s">
        <v>143</v>
      </c>
      <c r="B1" s="5"/>
      <c r="C1" s="5"/>
      <c r="D1" s="1"/>
      <c r="E1" s="5"/>
      <c r="F1" s="7"/>
      <c r="G1" s="6"/>
      <c r="H1" s="1"/>
    </row>
    <row r="2" spans="1:11" s="10" customFormat="1" ht="21" customHeight="1" x14ac:dyDescent="0.35">
      <c r="A2" s="8" t="s">
        <v>1</v>
      </c>
      <c r="B2" s="8" t="s">
        <v>0</v>
      </c>
      <c r="C2" s="8" t="s">
        <v>2</v>
      </c>
      <c r="D2" s="8" t="s">
        <v>3</v>
      </c>
      <c r="E2" s="8" t="s">
        <v>4</v>
      </c>
      <c r="F2" s="9" t="s">
        <v>81</v>
      </c>
      <c r="G2" s="8" t="s">
        <v>5</v>
      </c>
      <c r="H2" s="8" t="s">
        <v>105</v>
      </c>
      <c r="J2" s="9" t="s">
        <v>108</v>
      </c>
      <c r="K2" s="9" t="s">
        <v>109</v>
      </c>
    </row>
    <row r="3" spans="1:11" x14ac:dyDescent="0.35">
      <c r="A3" s="2">
        <v>1</v>
      </c>
      <c r="B3" s="2" t="s">
        <v>6</v>
      </c>
      <c r="C3" s="2">
        <v>105</v>
      </c>
      <c r="D3" s="3" t="s">
        <v>11</v>
      </c>
      <c r="E3" s="11">
        <v>42339</v>
      </c>
      <c r="F3" s="2" t="str">
        <f ca="1">DATEDIF(E3,TODAY(),"Y")&amp; " THN "&amp;DATEDIF(E3,TODAY(),"YM")&amp;" BLN"</f>
        <v>10 THN 8 BLN</v>
      </c>
      <c r="G3" s="3" t="s">
        <v>121</v>
      </c>
      <c r="H3" s="2" t="s">
        <v>106</v>
      </c>
      <c r="I3" s="19"/>
      <c r="J3" s="11">
        <v>32576</v>
      </c>
      <c r="K3" s="2" t="str">
        <f ca="1">DATEDIF(J3,TODAY(),"Y")&amp; " THN "&amp;DATEDIF(J3,TODAY(),"YM")&amp;" BLN"</f>
        <v>37 THN 5 BLN</v>
      </c>
    </row>
    <row r="4" spans="1:11" x14ac:dyDescent="0.35">
      <c r="A4" s="2">
        <v>2</v>
      </c>
      <c r="B4" s="2" t="s">
        <v>6</v>
      </c>
      <c r="C4" s="2">
        <v>146</v>
      </c>
      <c r="D4" s="3" t="s">
        <v>10</v>
      </c>
      <c r="E4" s="11">
        <v>42675</v>
      </c>
      <c r="F4" s="2" t="str">
        <f t="shared" ref="F4:F68" ca="1" si="0">DATEDIF(E4,TODAY(),"Y")&amp; " THN "&amp;DATEDIF(E4,TODAY(),"YM")&amp;" BLN"</f>
        <v>9 THN 9 BLN</v>
      </c>
      <c r="G4" s="3" t="s">
        <v>9</v>
      </c>
      <c r="H4" s="2" t="s">
        <v>106</v>
      </c>
      <c r="I4" s="19"/>
      <c r="J4" s="11">
        <v>35818</v>
      </c>
      <c r="K4" s="2" t="str">
        <f t="shared" ref="K4:K68" ca="1" si="1">DATEDIF(J4,TODAY(),"Y")&amp; " THN "&amp;DATEDIF(J4,TODAY(),"YM")&amp;" BLN"</f>
        <v>28 THN 7 BLN</v>
      </c>
    </row>
    <row r="5" spans="1:11" x14ac:dyDescent="0.35">
      <c r="A5" s="2">
        <v>3</v>
      </c>
      <c r="B5" s="2" t="s">
        <v>6</v>
      </c>
      <c r="C5" s="2">
        <v>182</v>
      </c>
      <c r="D5" s="3" t="s">
        <v>14</v>
      </c>
      <c r="E5" s="11">
        <v>42807</v>
      </c>
      <c r="F5" s="2" t="str">
        <f ca="1">DATEDIF(E5,TODAY(),"Y")&amp; " THN "&amp;DATEDIF(E5,TODAY(),"YM")&amp;" BLN"</f>
        <v>9 THN 5 BLN</v>
      </c>
      <c r="G5" s="3" t="s">
        <v>15</v>
      </c>
      <c r="H5" s="2" t="s">
        <v>106</v>
      </c>
      <c r="I5" s="19"/>
      <c r="J5" s="11">
        <v>32276</v>
      </c>
      <c r="K5" s="2" t="str">
        <f ca="1">DATEDIF(J5,TODAY(),"Y")&amp; " THN "&amp;DATEDIF(J5,TODAY(),"YM")&amp;" BLN"</f>
        <v>38 THN 3 BLN</v>
      </c>
    </row>
    <row r="6" spans="1:11" x14ac:dyDescent="0.35">
      <c r="A6" s="2">
        <v>4</v>
      </c>
      <c r="B6" s="2" t="s">
        <v>6</v>
      </c>
      <c r="C6" s="2">
        <v>65</v>
      </c>
      <c r="D6" s="3" t="s">
        <v>7</v>
      </c>
      <c r="E6" s="11">
        <v>42044</v>
      </c>
      <c r="F6" s="2" t="str">
        <f ca="1">DATEDIF(E6,TODAY(),"Y")&amp; " THN "&amp;DATEDIF(E6,TODAY(),"YM")&amp;" BLN"</f>
        <v>11 THN 6 BLN</v>
      </c>
      <c r="G6" s="3" t="s">
        <v>8</v>
      </c>
      <c r="H6" s="2" t="s">
        <v>106</v>
      </c>
      <c r="I6" s="19"/>
      <c r="J6" s="11">
        <v>35212</v>
      </c>
      <c r="K6" s="2" t="str">
        <f ca="1">DATEDIF(J6,TODAY(),"Y")&amp; " THN "&amp;DATEDIF(J6,TODAY(),"YM")&amp;" BLN"</f>
        <v>30 THN 3 BLN</v>
      </c>
    </row>
    <row r="7" spans="1:11" x14ac:dyDescent="0.35">
      <c r="A7" s="2">
        <v>5</v>
      </c>
      <c r="B7" s="2" t="s">
        <v>6</v>
      </c>
      <c r="C7" s="2">
        <v>332</v>
      </c>
      <c r="D7" s="3" t="s">
        <v>97</v>
      </c>
      <c r="E7" s="11">
        <v>43703</v>
      </c>
      <c r="F7" s="2" t="str">
        <f ca="1">DATEDIF(E7,TODAY(),"Y")&amp; " THN "&amp;DATEDIF(E7,TODAY(),"YM")&amp;" BLN"</f>
        <v>7 THN 0 BLN</v>
      </c>
      <c r="G7" s="3" t="s">
        <v>8</v>
      </c>
      <c r="H7" s="2" t="s">
        <v>107</v>
      </c>
      <c r="I7" s="19"/>
      <c r="J7" s="11">
        <v>31587</v>
      </c>
      <c r="K7" s="2" t="str">
        <f ca="1">DATEDIF(J7,TODAY(),"Y")&amp; " THN "&amp;DATEDIF(J7,TODAY(),"YM")&amp;" BLN"</f>
        <v>40 THN 2 BLN</v>
      </c>
    </row>
    <row r="8" spans="1:11" x14ac:dyDescent="0.35">
      <c r="A8" s="2">
        <v>6</v>
      </c>
      <c r="B8" s="2" t="s">
        <v>6</v>
      </c>
      <c r="C8" s="2">
        <v>13</v>
      </c>
      <c r="D8" s="3" t="s">
        <v>12</v>
      </c>
      <c r="E8" s="11">
        <v>43009</v>
      </c>
      <c r="F8" s="2" t="str">
        <f t="shared" ca="1" si="0"/>
        <v>8 THN 10 BLN</v>
      </c>
      <c r="G8" s="3" t="s">
        <v>13</v>
      </c>
      <c r="H8" s="2" t="s">
        <v>106</v>
      </c>
      <c r="I8" s="19"/>
      <c r="J8" s="11">
        <v>35188</v>
      </c>
      <c r="K8" s="2" t="str">
        <f t="shared" ca="1" si="1"/>
        <v>30 THN 3 BLN</v>
      </c>
    </row>
    <row r="9" spans="1:11" x14ac:dyDescent="0.35">
      <c r="A9" s="2">
        <v>7</v>
      </c>
      <c r="B9" s="2" t="s">
        <v>6</v>
      </c>
      <c r="C9" s="2">
        <v>250</v>
      </c>
      <c r="D9" s="3" t="s">
        <v>59</v>
      </c>
      <c r="E9" s="11">
        <v>43339</v>
      </c>
      <c r="F9" s="2" t="str">
        <f ca="1">DATEDIF(E9,TODAY(),"Y")&amp; " THN "&amp;DATEDIF(E9,TODAY(),"YM")&amp;" BLN"</f>
        <v>8 THN 0 BLN</v>
      </c>
      <c r="G9" s="3" t="s">
        <v>13</v>
      </c>
      <c r="H9" s="2" t="s">
        <v>107</v>
      </c>
      <c r="I9" s="19"/>
      <c r="J9" s="11">
        <v>34260</v>
      </c>
      <c r="K9" s="2" t="str">
        <f ca="1">DATEDIF(J9,TODAY(),"Y")&amp; " THN "&amp;DATEDIF(J9,TODAY(),"YM")&amp;" BLN"</f>
        <v>32 THN 10 BLN</v>
      </c>
    </row>
    <row r="10" spans="1:11" x14ac:dyDescent="0.35">
      <c r="A10" s="2">
        <v>8</v>
      </c>
      <c r="B10" s="2" t="s">
        <v>6</v>
      </c>
      <c r="C10" s="2">
        <v>253</v>
      </c>
      <c r="D10" s="3" t="s">
        <v>60</v>
      </c>
      <c r="E10" s="11">
        <v>43341</v>
      </c>
      <c r="F10" s="2" t="str">
        <f ca="1">DATEDIF(E10,TODAY(),"Y")&amp; " THN "&amp;DATEDIF(E10,TODAY(),"YM")&amp;" BLN"</f>
        <v>8 THN 0 BLN</v>
      </c>
      <c r="G10" s="3" t="s">
        <v>13</v>
      </c>
      <c r="H10" s="2" t="s">
        <v>107</v>
      </c>
      <c r="I10" s="19"/>
      <c r="J10" s="11">
        <v>34074</v>
      </c>
      <c r="K10" s="2" t="str">
        <f ca="1">DATEDIF(J10,TODAY(),"Y")&amp; " THN "&amp;DATEDIF(J10,TODAY(),"YM")&amp;" BLN"</f>
        <v>33 THN 4 BLN</v>
      </c>
    </row>
    <row r="11" spans="1:11" x14ac:dyDescent="0.35">
      <c r="A11" s="2">
        <v>9</v>
      </c>
      <c r="B11" s="2" t="s">
        <v>16</v>
      </c>
      <c r="C11" s="2">
        <v>123</v>
      </c>
      <c r="D11" s="3" t="s">
        <v>17</v>
      </c>
      <c r="E11" s="11">
        <v>42436</v>
      </c>
      <c r="F11" s="2" t="str">
        <f t="shared" ca="1" si="0"/>
        <v>10 THN 5 BLN</v>
      </c>
      <c r="G11" s="3" t="s">
        <v>18</v>
      </c>
      <c r="H11" s="2" t="s">
        <v>106</v>
      </c>
      <c r="I11" s="19"/>
      <c r="J11" s="11">
        <v>34314</v>
      </c>
      <c r="K11" s="2" t="str">
        <f t="shared" ca="1" si="1"/>
        <v>32 THN 8 BLN</v>
      </c>
    </row>
    <row r="12" spans="1:11" x14ac:dyDescent="0.35">
      <c r="A12" s="2">
        <v>10</v>
      </c>
      <c r="B12" s="2" t="s">
        <v>16</v>
      </c>
      <c r="C12" s="2">
        <v>12</v>
      </c>
      <c r="D12" s="3" t="s">
        <v>19</v>
      </c>
      <c r="E12" s="11">
        <v>41288</v>
      </c>
      <c r="F12" s="2" t="str">
        <f t="shared" ca="1" si="0"/>
        <v>13 THN 7 BLN</v>
      </c>
      <c r="G12" s="3" t="s">
        <v>122</v>
      </c>
      <c r="H12" s="2" t="s">
        <v>107</v>
      </c>
      <c r="I12" s="19"/>
      <c r="J12" s="11">
        <v>30153</v>
      </c>
      <c r="K12" s="2" t="str">
        <f t="shared" ca="1" si="1"/>
        <v>44 THN 1 BLN</v>
      </c>
    </row>
    <row r="13" spans="1:11" x14ac:dyDescent="0.35">
      <c r="A13" s="2">
        <v>11</v>
      </c>
      <c r="B13" s="2" t="s">
        <v>16</v>
      </c>
      <c r="C13" s="2">
        <v>353</v>
      </c>
      <c r="D13" s="3" t="s">
        <v>112</v>
      </c>
      <c r="E13" s="11">
        <v>43910</v>
      </c>
      <c r="F13" s="2" t="str">
        <f t="shared" ca="1" si="0"/>
        <v>6 THN 5 BLN</v>
      </c>
      <c r="G13" s="3" t="s">
        <v>123</v>
      </c>
      <c r="H13" s="2"/>
      <c r="I13" s="19"/>
      <c r="J13" s="11">
        <v>34014</v>
      </c>
      <c r="K13" s="2" t="str">
        <f t="shared" ca="1" si="1"/>
        <v>33 THN 6 BLN</v>
      </c>
    </row>
    <row r="14" spans="1:11" x14ac:dyDescent="0.35">
      <c r="A14" s="2">
        <v>12</v>
      </c>
      <c r="B14" s="2" t="s">
        <v>16</v>
      </c>
      <c r="C14" s="2">
        <v>354</v>
      </c>
      <c r="D14" s="3" t="s">
        <v>113</v>
      </c>
      <c r="E14" s="11">
        <v>43910</v>
      </c>
      <c r="F14" s="2" t="str">
        <f t="shared" ca="1" si="0"/>
        <v>6 THN 5 BLN</v>
      </c>
      <c r="G14" s="3" t="s">
        <v>123</v>
      </c>
      <c r="H14" s="2" t="s">
        <v>107</v>
      </c>
      <c r="I14" s="19"/>
      <c r="J14" s="11">
        <v>33490</v>
      </c>
      <c r="K14" s="2" t="str">
        <f t="shared" ca="1" si="1"/>
        <v>34 THN 11 BLN</v>
      </c>
    </row>
    <row r="15" spans="1:11" x14ac:dyDescent="0.35">
      <c r="A15" s="2">
        <v>13</v>
      </c>
      <c r="B15" s="2" t="s">
        <v>82</v>
      </c>
      <c r="C15" s="2">
        <v>7</v>
      </c>
      <c r="D15" s="3" t="s">
        <v>21</v>
      </c>
      <c r="E15" s="11">
        <v>41276</v>
      </c>
      <c r="F15" s="2" t="str">
        <f t="shared" ca="1" si="0"/>
        <v>13 THN 7 BLN</v>
      </c>
      <c r="G15" s="3" t="s">
        <v>18</v>
      </c>
      <c r="H15" s="2" t="s">
        <v>106</v>
      </c>
      <c r="I15" s="19"/>
      <c r="J15" s="11">
        <v>32084</v>
      </c>
      <c r="K15" s="2" t="str">
        <f t="shared" ca="1" si="1"/>
        <v>38 THN 9 BLN</v>
      </c>
    </row>
    <row r="16" spans="1:11" x14ac:dyDescent="0.35">
      <c r="A16" s="2">
        <v>14</v>
      </c>
      <c r="B16" s="2" t="s">
        <v>82</v>
      </c>
      <c r="C16" s="2">
        <v>5</v>
      </c>
      <c r="D16" s="3" t="s">
        <v>22</v>
      </c>
      <c r="E16" s="11">
        <v>38568</v>
      </c>
      <c r="F16" s="2" t="str">
        <f t="shared" ca="1" si="0"/>
        <v>21 THN 0 BLN</v>
      </c>
      <c r="G16" s="3" t="s">
        <v>98</v>
      </c>
      <c r="H16" s="2" t="s">
        <v>107</v>
      </c>
      <c r="I16" s="19"/>
      <c r="J16" s="11">
        <v>26169</v>
      </c>
      <c r="K16" s="2" t="str">
        <f t="shared" ca="1" si="1"/>
        <v>55 THN 0 BLN</v>
      </c>
    </row>
    <row r="17" spans="1:11" x14ac:dyDescent="0.35">
      <c r="A17" s="2">
        <v>15</v>
      </c>
      <c r="B17" s="2" t="s">
        <v>82</v>
      </c>
      <c r="C17" s="2">
        <v>62</v>
      </c>
      <c r="D17" s="3" t="s">
        <v>23</v>
      </c>
      <c r="E17" s="11">
        <v>42016</v>
      </c>
      <c r="F17" s="2" t="str">
        <f t="shared" ca="1" si="0"/>
        <v>11 THN 7 BLN</v>
      </c>
      <c r="G17" s="3" t="s">
        <v>99</v>
      </c>
      <c r="H17" s="2" t="s">
        <v>106</v>
      </c>
      <c r="I17" s="19"/>
      <c r="J17" s="11">
        <v>34858</v>
      </c>
      <c r="K17" s="2" t="str">
        <f t="shared" ca="1" si="1"/>
        <v>31 THN 2 BLN</v>
      </c>
    </row>
    <row r="18" spans="1:11" x14ac:dyDescent="0.35">
      <c r="A18" s="2">
        <v>16</v>
      </c>
      <c r="B18" s="2" t="s">
        <v>82</v>
      </c>
      <c r="C18" s="2">
        <v>128</v>
      </c>
      <c r="D18" s="3" t="s">
        <v>24</v>
      </c>
      <c r="E18" s="11">
        <v>42492</v>
      </c>
      <c r="F18" s="2" t="str">
        <f t="shared" ca="1" si="0"/>
        <v>10 THN 3 BLN</v>
      </c>
      <c r="G18" s="3" t="s">
        <v>20</v>
      </c>
      <c r="H18" s="2" t="s">
        <v>106</v>
      </c>
      <c r="I18" s="19"/>
      <c r="J18" s="11">
        <v>33336</v>
      </c>
      <c r="K18" s="2" t="str">
        <f t="shared" ca="1" si="1"/>
        <v>35 THN 4 BLN</v>
      </c>
    </row>
    <row r="19" spans="1:11" x14ac:dyDescent="0.35">
      <c r="A19" s="2">
        <v>17</v>
      </c>
      <c r="B19" s="2" t="s">
        <v>82</v>
      </c>
      <c r="C19" s="2">
        <v>356</v>
      </c>
      <c r="D19" s="3" t="s">
        <v>114</v>
      </c>
      <c r="E19" s="11">
        <v>44013</v>
      </c>
      <c r="F19" s="2" t="str">
        <f t="shared" ca="1" si="0"/>
        <v>6 THN 1 BLN</v>
      </c>
      <c r="G19" s="3" t="s">
        <v>124</v>
      </c>
      <c r="H19" s="2"/>
      <c r="I19" s="19"/>
      <c r="J19" s="11">
        <v>33216</v>
      </c>
      <c r="K19" s="2" t="str">
        <f t="shared" ca="1" si="1"/>
        <v>35 THN 8 BLN</v>
      </c>
    </row>
    <row r="20" spans="1:11" x14ac:dyDescent="0.35">
      <c r="A20" s="2">
        <v>18</v>
      </c>
      <c r="B20" s="2" t="s">
        <v>25</v>
      </c>
      <c r="C20" s="2">
        <v>125</v>
      </c>
      <c r="D20" s="3" t="s">
        <v>26</v>
      </c>
      <c r="E20" s="11">
        <v>42462</v>
      </c>
      <c r="F20" s="2" t="str">
        <f t="shared" ca="1" si="0"/>
        <v>10 THN 4 BLN</v>
      </c>
      <c r="G20" s="3" t="s">
        <v>18</v>
      </c>
      <c r="H20" s="2" t="s">
        <v>107</v>
      </c>
      <c r="I20" s="19"/>
      <c r="J20" s="11">
        <v>29989</v>
      </c>
      <c r="K20" s="2" t="str">
        <f t="shared" ca="1" si="1"/>
        <v>44 THN 6 BLN</v>
      </c>
    </row>
    <row r="21" spans="1:11" x14ac:dyDescent="0.35">
      <c r="A21" s="2">
        <v>19</v>
      </c>
      <c r="B21" s="2" t="s">
        <v>25</v>
      </c>
      <c r="C21" s="2">
        <v>2</v>
      </c>
      <c r="D21" s="3" t="s">
        <v>27</v>
      </c>
      <c r="E21" s="11">
        <v>35841</v>
      </c>
      <c r="F21" s="2" t="str">
        <f t="shared" ca="1" si="0"/>
        <v>28 THN 6 BLN</v>
      </c>
      <c r="G21" s="3" t="s">
        <v>28</v>
      </c>
      <c r="H21" s="2" t="s">
        <v>107</v>
      </c>
      <c r="I21" s="19"/>
      <c r="J21" s="11">
        <v>23721</v>
      </c>
      <c r="K21" s="2" t="str">
        <f t="shared" ca="1" si="1"/>
        <v>61 THN 8 BLN</v>
      </c>
    </row>
    <row r="22" spans="1:11" x14ac:dyDescent="0.35">
      <c r="A22" s="2">
        <v>20</v>
      </c>
      <c r="B22" s="2" t="s">
        <v>25</v>
      </c>
      <c r="C22" s="2">
        <v>11</v>
      </c>
      <c r="D22" s="3" t="s">
        <v>32</v>
      </c>
      <c r="E22" s="11">
        <v>41918</v>
      </c>
      <c r="F22" s="2" t="str">
        <f t="shared" ca="1" si="0"/>
        <v>11 THN 10 BLN</v>
      </c>
      <c r="G22" s="3" t="s">
        <v>28</v>
      </c>
      <c r="H22" s="2" t="s">
        <v>107</v>
      </c>
      <c r="I22" s="19"/>
      <c r="J22" s="11">
        <v>31373</v>
      </c>
      <c r="K22" s="2" t="str">
        <f t="shared" ca="1" si="1"/>
        <v>40 THN 9 BLN</v>
      </c>
    </row>
    <row r="23" spans="1:11" x14ac:dyDescent="0.35">
      <c r="A23" s="2">
        <v>21</v>
      </c>
      <c r="B23" s="2" t="s">
        <v>25</v>
      </c>
      <c r="C23" s="2">
        <v>4</v>
      </c>
      <c r="D23" s="3" t="s">
        <v>29</v>
      </c>
      <c r="E23" s="11">
        <v>38458</v>
      </c>
      <c r="F23" s="2" t="str">
        <f t="shared" ca="1" si="0"/>
        <v>21 THN 4 BLN</v>
      </c>
      <c r="G23" s="3" t="s">
        <v>30</v>
      </c>
      <c r="H23" s="2" t="s">
        <v>107</v>
      </c>
      <c r="I23" s="19"/>
      <c r="J23" s="11">
        <v>30050</v>
      </c>
      <c r="K23" s="2" t="str">
        <f t="shared" ca="1" si="1"/>
        <v>44 THN 4 BLN</v>
      </c>
    </row>
    <row r="24" spans="1:11" x14ac:dyDescent="0.35">
      <c r="A24" s="2">
        <v>22</v>
      </c>
      <c r="B24" s="2" t="s">
        <v>25</v>
      </c>
      <c r="C24" s="2">
        <v>18</v>
      </c>
      <c r="D24" s="3" t="s">
        <v>31</v>
      </c>
      <c r="E24" s="11">
        <v>38605</v>
      </c>
      <c r="F24" s="2" t="str">
        <f t="shared" ca="1" si="0"/>
        <v>20 THN 11 BLN</v>
      </c>
      <c r="G24" s="3" t="s">
        <v>125</v>
      </c>
      <c r="H24" s="2" t="s">
        <v>107</v>
      </c>
      <c r="I24" s="19"/>
      <c r="J24" s="11">
        <v>30630</v>
      </c>
      <c r="K24" s="2" t="str">
        <f t="shared" ca="1" si="1"/>
        <v>42 THN 9 BLN</v>
      </c>
    </row>
    <row r="25" spans="1:11" x14ac:dyDescent="0.35">
      <c r="A25" s="2">
        <v>23</v>
      </c>
      <c r="B25" s="2" t="s">
        <v>25</v>
      </c>
      <c r="C25" s="2">
        <v>283</v>
      </c>
      <c r="D25" s="3" t="s">
        <v>83</v>
      </c>
      <c r="E25" s="11">
        <v>43493</v>
      </c>
      <c r="F25" s="2" t="str">
        <f t="shared" ca="1" si="0"/>
        <v>7 THN 7 BLN</v>
      </c>
      <c r="G25" s="3" t="s">
        <v>125</v>
      </c>
      <c r="H25" s="2" t="s">
        <v>107</v>
      </c>
      <c r="I25" s="19"/>
      <c r="J25" s="11">
        <v>34000</v>
      </c>
      <c r="K25" s="2" t="str">
        <f t="shared" ca="1" si="1"/>
        <v>33 THN 6 BLN</v>
      </c>
    </row>
    <row r="26" spans="1:11" x14ac:dyDescent="0.35">
      <c r="A26" s="2">
        <v>24</v>
      </c>
      <c r="B26" s="2" t="s">
        <v>25</v>
      </c>
      <c r="C26" s="12">
        <v>322</v>
      </c>
      <c r="D26" s="13" t="s">
        <v>84</v>
      </c>
      <c r="E26" s="14">
        <v>43658</v>
      </c>
      <c r="F26" s="2" t="str">
        <f t="shared" ca="1" si="0"/>
        <v>7 THN 1 BLN</v>
      </c>
      <c r="G26" s="13" t="s">
        <v>126</v>
      </c>
      <c r="H26" s="2"/>
      <c r="J26" s="11">
        <v>36884</v>
      </c>
      <c r="K26" s="2" t="str">
        <f t="shared" ca="1" si="1"/>
        <v>25 THN 8 BLN</v>
      </c>
    </row>
    <row r="27" spans="1:11" x14ac:dyDescent="0.35">
      <c r="A27" s="2">
        <v>25</v>
      </c>
      <c r="B27" s="2" t="s">
        <v>25</v>
      </c>
      <c r="C27" s="12">
        <v>344</v>
      </c>
      <c r="D27" s="13" t="s">
        <v>111</v>
      </c>
      <c r="E27" s="14">
        <v>43874</v>
      </c>
      <c r="F27" s="2" t="str">
        <f t="shared" ca="1" si="0"/>
        <v>6 THN 6 BLN</v>
      </c>
      <c r="G27" s="13" t="s">
        <v>126</v>
      </c>
      <c r="H27" s="2"/>
      <c r="J27" s="11">
        <v>36317</v>
      </c>
      <c r="K27" s="2" t="str">
        <f t="shared" ca="1" si="1"/>
        <v>27 THN 2 BLN</v>
      </c>
    </row>
    <row r="28" spans="1:11" x14ac:dyDescent="0.35">
      <c r="A28" s="2">
        <v>26</v>
      </c>
      <c r="B28" s="2" t="s">
        <v>33</v>
      </c>
      <c r="C28" s="12">
        <v>329</v>
      </c>
      <c r="D28" s="13" t="s">
        <v>85</v>
      </c>
      <c r="E28" s="14">
        <v>43701</v>
      </c>
      <c r="F28" s="2" t="str">
        <f t="shared" ca="1" si="0"/>
        <v>7 THN 0 BLN</v>
      </c>
      <c r="G28" s="13" t="s">
        <v>127</v>
      </c>
      <c r="H28" s="2" t="s">
        <v>107</v>
      </c>
      <c r="I28" s="5"/>
      <c r="J28" s="11">
        <v>35392</v>
      </c>
      <c r="K28" s="2" t="str">
        <f t="shared" ca="1" si="1"/>
        <v>29 THN 9 BLN</v>
      </c>
    </row>
    <row r="29" spans="1:11" x14ac:dyDescent="0.35">
      <c r="A29" s="2">
        <v>27</v>
      </c>
      <c r="B29" s="2" t="s">
        <v>33</v>
      </c>
      <c r="C29" s="12">
        <v>348</v>
      </c>
      <c r="D29" s="13" t="s">
        <v>115</v>
      </c>
      <c r="E29" s="14">
        <v>43881</v>
      </c>
      <c r="F29" s="2" t="str">
        <f t="shared" ca="1" si="0"/>
        <v>6 THN 6 BLN</v>
      </c>
      <c r="G29" s="13" t="s">
        <v>127</v>
      </c>
      <c r="H29" s="2"/>
      <c r="I29" s="5"/>
      <c r="J29" s="11">
        <v>35701</v>
      </c>
      <c r="K29" s="2" t="str">
        <f t="shared" ca="1" si="1"/>
        <v>28 THN 11 BLN</v>
      </c>
    </row>
    <row r="30" spans="1:11" x14ac:dyDescent="0.35">
      <c r="A30" s="2">
        <v>28</v>
      </c>
      <c r="B30" s="2" t="s">
        <v>34</v>
      </c>
      <c r="C30" s="2">
        <v>25</v>
      </c>
      <c r="D30" s="3" t="s">
        <v>35</v>
      </c>
      <c r="E30" s="11">
        <v>38544</v>
      </c>
      <c r="F30" s="2" t="str">
        <f t="shared" ca="1" si="0"/>
        <v>21 THN 1 BLN</v>
      </c>
      <c r="G30" s="3" t="s">
        <v>36</v>
      </c>
      <c r="H30" s="2" t="s">
        <v>106</v>
      </c>
      <c r="I30" s="19"/>
      <c r="J30" s="11">
        <v>32686</v>
      </c>
      <c r="K30" s="2" t="str">
        <f t="shared" ca="1" si="1"/>
        <v>37 THN 2 BLN</v>
      </c>
    </row>
    <row r="31" spans="1:11" x14ac:dyDescent="0.35">
      <c r="A31" s="2">
        <v>29</v>
      </c>
      <c r="B31" s="2" t="s">
        <v>34</v>
      </c>
      <c r="C31" s="2">
        <v>124</v>
      </c>
      <c r="D31" s="3" t="s">
        <v>49</v>
      </c>
      <c r="E31" s="11">
        <v>42462</v>
      </c>
      <c r="F31" s="2" t="str">
        <f t="shared" ca="1" si="0"/>
        <v>10 THN 4 BLN</v>
      </c>
      <c r="G31" s="3" t="s">
        <v>36</v>
      </c>
      <c r="H31" s="2" t="s">
        <v>107</v>
      </c>
      <c r="I31" s="19"/>
      <c r="J31" s="11">
        <v>34799</v>
      </c>
      <c r="K31" s="2" t="str">
        <f t="shared" ca="1" si="1"/>
        <v>31 THN 4 BLN</v>
      </c>
    </row>
    <row r="32" spans="1:11" x14ac:dyDescent="0.35">
      <c r="A32" s="2">
        <v>30</v>
      </c>
      <c r="B32" s="2" t="s">
        <v>34</v>
      </c>
      <c r="C32" s="2">
        <v>212</v>
      </c>
      <c r="D32" s="3" t="s">
        <v>70</v>
      </c>
      <c r="E32" s="11">
        <v>43136</v>
      </c>
      <c r="F32" s="2" t="str">
        <f ca="1">DATEDIF(E32,TODAY(),"Y")&amp; " THN "&amp;DATEDIF(E32,TODAY(),"YM")&amp;" BLN"</f>
        <v>8 THN 6 BLN</v>
      </c>
      <c r="G32" s="3" t="s">
        <v>36</v>
      </c>
      <c r="H32" s="2" t="s">
        <v>107</v>
      </c>
      <c r="I32" s="19"/>
      <c r="J32" s="11">
        <v>33530</v>
      </c>
      <c r="K32" s="2" t="str">
        <f ca="1">DATEDIF(J32,TODAY(),"Y")&amp; " THN "&amp;DATEDIF(J32,TODAY(),"YM")&amp;" BLN"</f>
        <v>34 THN 10 BLN</v>
      </c>
    </row>
    <row r="33" spans="1:11" x14ac:dyDescent="0.35">
      <c r="A33" s="2">
        <v>31</v>
      </c>
      <c r="B33" s="2" t="s">
        <v>34</v>
      </c>
      <c r="C33" s="2">
        <v>357</v>
      </c>
      <c r="D33" s="3" t="s">
        <v>146</v>
      </c>
      <c r="E33" s="11">
        <v>34380</v>
      </c>
      <c r="F33" s="2" t="str">
        <f ca="1">DATEDIF(E33,TODAY(),"Y")&amp; " THN "&amp;DATEDIF(E33,TODAY(),"YM")&amp;" BLN"</f>
        <v>32 THN 6 BLN</v>
      </c>
      <c r="G33" s="3" t="s">
        <v>36</v>
      </c>
      <c r="H33" s="2"/>
      <c r="I33" s="19"/>
      <c r="J33" s="11">
        <v>44020</v>
      </c>
      <c r="K33" s="2" t="str">
        <f ca="1">DATEDIF(J33,TODAY(),"Y")&amp; " THN "&amp;DATEDIF(J33,TODAY(),"YM")&amp;" BLN"</f>
        <v>6 THN 1 BLN</v>
      </c>
    </row>
    <row r="34" spans="1:11" x14ac:dyDescent="0.35">
      <c r="A34" s="2">
        <v>32</v>
      </c>
      <c r="B34" s="2" t="s">
        <v>34</v>
      </c>
      <c r="C34" s="2">
        <v>28</v>
      </c>
      <c r="D34" s="3" t="s">
        <v>86</v>
      </c>
      <c r="E34" s="11">
        <v>40551</v>
      </c>
      <c r="F34" s="2" t="str">
        <f t="shared" ca="1" si="0"/>
        <v>15 THN 7 BLN</v>
      </c>
      <c r="G34" s="3" t="s">
        <v>128</v>
      </c>
      <c r="H34" s="2" t="s">
        <v>107</v>
      </c>
      <c r="I34" s="19"/>
      <c r="J34" s="11">
        <v>33086</v>
      </c>
      <c r="K34" s="2" t="str">
        <f t="shared" ca="1" si="1"/>
        <v>36 THN 0 BLN</v>
      </c>
    </row>
    <row r="35" spans="1:11" x14ac:dyDescent="0.35">
      <c r="A35" s="2">
        <v>33</v>
      </c>
      <c r="B35" s="2" t="s">
        <v>34</v>
      </c>
      <c r="C35" s="2">
        <v>45</v>
      </c>
      <c r="D35" s="3" t="s">
        <v>37</v>
      </c>
      <c r="E35" s="11">
        <v>41866</v>
      </c>
      <c r="F35" s="2" t="str">
        <f t="shared" ca="1" si="0"/>
        <v>12 THN 0 BLN</v>
      </c>
      <c r="G35" s="3" t="s">
        <v>128</v>
      </c>
      <c r="H35" s="2" t="s">
        <v>107</v>
      </c>
      <c r="I35" s="19"/>
      <c r="J35" s="11">
        <v>33396</v>
      </c>
      <c r="K35" s="2" t="str">
        <f t="shared" ca="1" si="1"/>
        <v>35 THN 2 BLN</v>
      </c>
    </row>
    <row r="36" spans="1:11" x14ac:dyDescent="0.35">
      <c r="A36" s="2">
        <v>34</v>
      </c>
      <c r="B36" s="2" t="s">
        <v>34</v>
      </c>
      <c r="C36" s="2">
        <v>247</v>
      </c>
      <c r="D36" s="3" t="s">
        <v>110</v>
      </c>
      <c r="E36" s="11">
        <v>43325</v>
      </c>
      <c r="F36" s="2" t="str">
        <f t="shared" ca="1" si="0"/>
        <v>8 THN 0 BLN</v>
      </c>
      <c r="G36" s="3" t="s">
        <v>129</v>
      </c>
      <c r="H36" s="2" t="s">
        <v>107</v>
      </c>
      <c r="I36" s="19"/>
      <c r="J36" s="11">
        <v>30443</v>
      </c>
      <c r="K36" s="2" t="str">
        <f t="shared" ca="1" si="1"/>
        <v>43 THN 3 BLN</v>
      </c>
    </row>
    <row r="37" spans="1:11" x14ac:dyDescent="0.35">
      <c r="A37" s="2">
        <v>35</v>
      </c>
      <c r="B37" s="2" t="s">
        <v>34</v>
      </c>
      <c r="C37" s="2">
        <v>171</v>
      </c>
      <c r="D37" s="3" t="s">
        <v>39</v>
      </c>
      <c r="E37" s="11">
        <v>42789</v>
      </c>
      <c r="F37" s="2" t="str">
        <f t="shared" ca="1" si="0"/>
        <v>9 THN 6 BLN</v>
      </c>
      <c r="G37" s="3" t="s">
        <v>129</v>
      </c>
      <c r="H37" s="2" t="s">
        <v>107</v>
      </c>
      <c r="I37" s="19"/>
      <c r="J37" s="11">
        <v>32863</v>
      </c>
      <c r="K37" s="2" t="str">
        <f t="shared" ca="1" si="1"/>
        <v>36 THN 8 BLN</v>
      </c>
    </row>
    <row r="38" spans="1:11" x14ac:dyDescent="0.35">
      <c r="A38" s="2">
        <v>36</v>
      </c>
      <c r="B38" s="2" t="s">
        <v>34</v>
      </c>
      <c r="C38" s="2">
        <v>17</v>
      </c>
      <c r="D38" s="3" t="s">
        <v>47</v>
      </c>
      <c r="E38" s="11">
        <v>41539</v>
      </c>
      <c r="F38" s="2" t="str">
        <f t="shared" ca="1" si="0"/>
        <v>12 THN 11 BLN</v>
      </c>
      <c r="G38" s="3" t="s">
        <v>130</v>
      </c>
      <c r="H38" s="2" t="s">
        <v>107</v>
      </c>
      <c r="I38" s="19"/>
      <c r="J38" s="11">
        <v>33806</v>
      </c>
      <c r="K38" s="2" t="str">
        <f t="shared" ca="1" si="1"/>
        <v>34 THN 1 BLN</v>
      </c>
    </row>
    <row r="39" spans="1:11" x14ac:dyDescent="0.35">
      <c r="A39" s="2">
        <v>37</v>
      </c>
      <c r="B39" s="2" t="s">
        <v>34</v>
      </c>
      <c r="C39" s="2">
        <v>324</v>
      </c>
      <c r="D39" s="3" t="s">
        <v>100</v>
      </c>
      <c r="E39" s="11">
        <v>43678</v>
      </c>
      <c r="F39" s="2" t="str">
        <f ca="1">DATEDIF(E39,TODAY(),"Y")&amp; " THN "&amp;DATEDIF(E39,TODAY(),"YM")&amp;" BLN"</f>
        <v>7 THN 0 BLN</v>
      </c>
      <c r="G39" s="3" t="s">
        <v>130</v>
      </c>
      <c r="H39" s="2" t="s">
        <v>107</v>
      </c>
      <c r="I39" s="19"/>
      <c r="J39" s="11">
        <v>35162</v>
      </c>
      <c r="K39" s="2" t="str">
        <f ca="1">DATEDIF(J39,TODAY(),"Y")&amp; " THN "&amp;DATEDIF(J39,TODAY(),"YM")&amp;" BLN"</f>
        <v>30 THN 4 BLN</v>
      </c>
    </row>
    <row r="40" spans="1:11" x14ac:dyDescent="0.35">
      <c r="A40" s="2">
        <v>38</v>
      </c>
      <c r="B40" s="2" t="s">
        <v>34</v>
      </c>
      <c r="C40" s="2">
        <v>26</v>
      </c>
      <c r="D40" s="3" t="s">
        <v>48</v>
      </c>
      <c r="E40" s="11">
        <v>39015</v>
      </c>
      <c r="F40" s="2" t="str">
        <f t="shared" ca="1" si="0"/>
        <v>19 THN 10 BLN</v>
      </c>
      <c r="G40" s="3" t="s">
        <v>131</v>
      </c>
      <c r="H40" s="2" t="s">
        <v>107</v>
      </c>
      <c r="I40" s="19"/>
      <c r="J40" s="11">
        <v>23255</v>
      </c>
      <c r="K40" s="2" t="str">
        <f t="shared" ca="1" si="1"/>
        <v>62 THN 11 BLN</v>
      </c>
    </row>
    <row r="41" spans="1:11" x14ac:dyDescent="0.35">
      <c r="A41" s="2">
        <v>39</v>
      </c>
      <c r="B41" s="2" t="s">
        <v>34</v>
      </c>
      <c r="C41" s="2">
        <v>239</v>
      </c>
      <c r="D41" s="13" t="s">
        <v>46</v>
      </c>
      <c r="E41" s="14">
        <v>43293</v>
      </c>
      <c r="F41" s="2" t="str">
        <f ca="1">DATEDIF(E41,TODAY(),"Y")&amp; " THN "&amp;DATEDIF(E41,TODAY(),"YM")&amp;" BLN"</f>
        <v>8 THN 1 BLN</v>
      </c>
      <c r="G41" s="3" t="s">
        <v>131</v>
      </c>
      <c r="H41" s="2" t="s">
        <v>107</v>
      </c>
      <c r="I41" s="19"/>
      <c r="J41" s="11">
        <v>29127</v>
      </c>
      <c r="K41" s="2" t="str">
        <f ca="1">DATEDIF(J41,TODAY(),"Y")&amp; " THN "&amp;DATEDIF(J41,TODAY(),"YM")&amp;" BLN"</f>
        <v>46 THN 11 BLN</v>
      </c>
    </row>
    <row r="42" spans="1:11" x14ac:dyDescent="0.35">
      <c r="A42" s="2">
        <v>40</v>
      </c>
      <c r="B42" s="2" t="s">
        <v>34</v>
      </c>
      <c r="C42" s="2">
        <v>23</v>
      </c>
      <c r="D42" s="3" t="s">
        <v>40</v>
      </c>
      <c r="E42" s="11">
        <v>36661</v>
      </c>
      <c r="F42" s="2" t="str">
        <f t="shared" ca="1" si="0"/>
        <v>26 THN 3 BLN</v>
      </c>
      <c r="G42" s="3" t="s">
        <v>132</v>
      </c>
      <c r="H42" s="2" t="s">
        <v>107</v>
      </c>
      <c r="I42" s="19"/>
      <c r="J42" s="11">
        <v>27121</v>
      </c>
      <c r="K42" s="2" t="str">
        <f t="shared" ca="1" si="1"/>
        <v>52 THN 4 BLN</v>
      </c>
    </row>
    <row r="43" spans="1:11" x14ac:dyDescent="0.35">
      <c r="A43" s="2">
        <v>41</v>
      </c>
      <c r="B43" s="2" t="s">
        <v>34</v>
      </c>
      <c r="C43" s="2">
        <v>27</v>
      </c>
      <c r="D43" s="3" t="s">
        <v>41</v>
      </c>
      <c r="E43" s="11">
        <v>39756</v>
      </c>
      <c r="F43" s="2" t="str">
        <f t="shared" ca="1" si="0"/>
        <v>17 THN 9 BLN</v>
      </c>
      <c r="G43" s="3" t="s">
        <v>132</v>
      </c>
      <c r="H43" s="2" t="s">
        <v>107</v>
      </c>
      <c r="I43" s="19"/>
      <c r="J43" s="11">
        <v>27968</v>
      </c>
      <c r="K43" s="2" t="str">
        <f t="shared" ca="1" si="1"/>
        <v>50 THN 1 BLN</v>
      </c>
    </row>
    <row r="44" spans="1:11" x14ac:dyDescent="0.35">
      <c r="A44" s="2">
        <v>42</v>
      </c>
      <c r="B44" s="2" t="s">
        <v>34</v>
      </c>
      <c r="C44" s="2">
        <v>39</v>
      </c>
      <c r="D44" s="3" t="s">
        <v>42</v>
      </c>
      <c r="E44" s="11">
        <v>42215</v>
      </c>
      <c r="F44" s="2" t="str">
        <f t="shared" ca="1" si="0"/>
        <v>11 THN 0 BLN</v>
      </c>
      <c r="G44" s="3" t="s">
        <v>132</v>
      </c>
      <c r="H44" s="2" t="s">
        <v>107</v>
      </c>
      <c r="I44" s="19"/>
      <c r="J44" s="11">
        <v>26055</v>
      </c>
      <c r="K44" s="2" t="str">
        <f t="shared" ca="1" si="1"/>
        <v>55 THN 3 BLN</v>
      </c>
    </row>
    <row r="45" spans="1:11" x14ac:dyDescent="0.35">
      <c r="A45" s="2">
        <v>43</v>
      </c>
      <c r="B45" s="2" t="s">
        <v>34</v>
      </c>
      <c r="C45" s="2">
        <v>77</v>
      </c>
      <c r="D45" s="3" t="s">
        <v>43</v>
      </c>
      <c r="E45" s="11">
        <v>42152</v>
      </c>
      <c r="F45" s="2" t="str">
        <f t="shared" ca="1" si="0"/>
        <v>11 THN 3 BLN</v>
      </c>
      <c r="G45" s="3" t="s">
        <v>132</v>
      </c>
      <c r="H45" s="2" t="s">
        <v>107</v>
      </c>
      <c r="I45" s="19"/>
      <c r="J45" s="11">
        <v>25204</v>
      </c>
      <c r="K45" s="2" t="str">
        <f t="shared" ca="1" si="1"/>
        <v>57 THN 7 BLN</v>
      </c>
    </row>
    <row r="46" spans="1:11" x14ac:dyDescent="0.35">
      <c r="A46" s="2">
        <v>44</v>
      </c>
      <c r="B46" s="2" t="s">
        <v>34</v>
      </c>
      <c r="C46" s="2">
        <v>154</v>
      </c>
      <c r="D46" s="3" t="s">
        <v>44</v>
      </c>
      <c r="E46" s="11">
        <v>42752</v>
      </c>
      <c r="F46" s="2" t="str">
        <f t="shared" ca="1" si="0"/>
        <v>9 THN 7 BLN</v>
      </c>
      <c r="G46" s="3" t="s">
        <v>132</v>
      </c>
      <c r="H46" s="2" t="s">
        <v>107</v>
      </c>
      <c r="I46" s="19"/>
      <c r="J46" s="11">
        <v>31111</v>
      </c>
      <c r="K46" s="2" t="str">
        <f t="shared" ca="1" si="1"/>
        <v>41 THN 5 BLN</v>
      </c>
    </row>
    <row r="47" spans="1:11" x14ac:dyDescent="0.35">
      <c r="A47" s="2">
        <v>45</v>
      </c>
      <c r="B47" s="2" t="s">
        <v>34</v>
      </c>
      <c r="C47" s="2">
        <v>157</v>
      </c>
      <c r="D47" s="3" t="s">
        <v>45</v>
      </c>
      <c r="E47" s="11">
        <v>42753</v>
      </c>
      <c r="F47" s="2" t="str">
        <f t="shared" ca="1" si="0"/>
        <v>9 THN 7 BLN</v>
      </c>
      <c r="G47" s="3" t="s">
        <v>132</v>
      </c>
      <c r="H47" s="2" t="s">
        <v>107</v>
      </c>
      <c r="I47" s="19"/>
      <c r="J47" s="11">
        <v>31672</v>
      </c>
      <c r="K47" s="2" t="str">
        <f t="shared" ca="1" si="1"/>
        <v>39 THN 11 BLN</v>
      </c>
    </row>
    <row r="48" spans="1:11" x14ac:dyDescent="0.35">
      <c r="A48" s="2">
        <v>46</v>
      </c>
      <c r="B48" s="2" t="s">
        <v>34</v>
      </c>
      <c r="C48" s="2">
        <v>243</v>
      </c>
      <c r="D48" s="3" t="s">
        <v>58</v>
      </c>
      <c r="E48" s="11">
        <v>43302</v>
      </c>
      <c r="F48" s="2" t="str">
        <f t="shared" ca="1" si="0"/>
        <v>8 THN 1 BLN</v>
      </c>
      <c r="G48" s="3" t="s">
        <v>133</v>
      </c>
      <c r="H48" s="2" t="s">
        <v>107</v>
      </c>
      <c r="I48" s="19"/>
      <c r="J48" s="11">
        <v>36649</v>
      </c>
      <c r="K48" s="2" t="str">
        <f t="shared" ca="1" si="1"/>
        <v>26 THN 3 BLN</v>
      </c>
    </row>
    <row r="49" spans="1:11" x14ac:dyDescent="0.35">
      <c r="A49" s="2">
        <v>47</v>
      </c>
      <c r="B49" s="2" t="s">
        <v>34</v>
      </c>
      <c r="C49" s="2">
        <v>202</v>
      </c>
      <c r="D49" s="3" t="s">
        <v>50</v>
      </c>
      <c r="E49" s="11">
        <v>42903</v>
      </c>
      <c r="F49" s="2" t="str">
        <f t="shared" ca="1" si="0"/>
        <v>9 THN 2 BLN</v>
      </c>
      <c r="G49" s="3" t="s">
        <v>134</v>
      </c>
      <c r="H49" s="2" t="s">
        <v>107</v>
      </c>
      <c r="I49" s="19"/>
      <c r="J49" s="11">
        <v>34213</v>
      </c>
      <c r="K49" s="2" t="str">
        <f t="shared" ca="1" si="1"/>
        <v>32 THN 11 BLN</v>
      </c>
    </row>
    <row r="50" spans="1:11" x14ac:dyDescent="0.35">
      <c r="A50" s="2">
        <v>48</v>
      </c>
      <c r="B50" s="2" t="s">
        <v>34</v>
      </c>
      <c r="C50" s="2">
        <v>303</v>
      </c>
      <c r="D50" s="3" t="s">
        <v>51</v>
      </c>
      <c r="E50" s="11">
        <v>43150</v>
      </c>
      <c r="F50" s="2" t="str">
        <f t="shared" ca="1" si="0"/>
        <v>8 THN 6 BLN</v>
      </c>
      <c r="G50" s="3" t="s">
        <v>134</v>
      </c>
      <c r="H50" s="2" t="s">
        <v>107</v>
      </c>
      <c r="I50" s="19"/>
      <c r="J50" s="11">
        <v>30297</v>
      </c>
      <c r="K50" s="2" t="str">
        <f t="shared" ca="1" si="1"/>
        <v>43 THN 8 BLN</v>
      </c>
    </row>
    <row r="51" spans="1:11" x14ac:dyDescent="0.35">
      <c r="A51" s="2">
        <v>49</v>
      </c>
      <c r="B51" s="2" t="s">
        <v>34</v>
      </c>
      <c r="C51" s="2">
        <v>230</v>
      </c>
      <c r="D51" s="3" t="s">
        <v>52</v>
      </c>
      <c r="E51" s="11">
        <v>43192</v>
      </c>
      <c r="F51" s="2" t="str">
        <f t="shared" ca="1" si="0"/>
        <v>8 THN 4 BLN</v>
      </c>
      <c r="G51" s="3" t="s">
        <v>134</v>
      </c>
      <c r="H51" s="2" t="s">
        <v>107</v>
      </c>
      <c r="I51" s="19"/>
      <c r="J51" s="11">
        <v>33134</v>
      </c>
      <c r="K51" s="2" t="str">
        <f t="shared" ca="1" si="1"/>
        <v>35 THN 11 BLN</v>
      </c>
    </row>
    <row r="52" spans="1:11" x14ac:dyDescent="0.35">
      <c r="A52" s="2">
        <v>50</v>
      </c>
      <c r="B52" s="2" t="s">
        <v>34</v>
      </c>
      <c r="C52" s="2">
        <v>236</v>
      </c>
      <c r="D52" s="3" t="s">
        <v>53</v>
      </c>
      <c r="E52" s="11">
        <v>43290</v>
      </c>
      <c r="F52" s="2" t="str">
        <f t="shared" ca="1" si="0"/>
        <v>8 THN 1 BLN</v>
      </c>
      <c r="G52" s="3" t="s">
        <v>134</v>
      </c>
      <c r="H52" s="2" t="s">
        <v>107</v>
      </c>
      <c r="I52" s="19"/>
      <c r="J52" s="11">
        <v>35990</v>
      </c>
      <c r="K52" s="2" t="str">
        <f t="shared" ca="1" si="1"/>
        <v>28 THN 1 BLN</v>
      </c>
    </row>
    <row r="53" spans="1:11" x14ac:dyDescent="0.35">
      <c r="A53" s="2">
        <v>51</v>
      </c>
      <c r="B53" s="2" t="s">
        <v>34</v>
      </c>
      <c r="C53" s="2">
        <v>346</v>
      </c>
      <c r="D53" s="3" t="s">
        <v>119</v>
      </c>
      <c r="E53" s="11">
        <v>43878</v>
      </c>
      <c r="F53" s="2" t="str">
        <f t="shared" ca="1" si="0"/>
        <v>6 THN 6 BLN</v>
      </c>
      <c r="G53" s="3" t="s">
        <v>134</v>
      </c>
      <c r="H53" s="2"/>
      <c r="I53" s="19"/>
      <c r="J53" s="11">
        <v>35807</v>
      </c>
      <c r="K53" s="2" t="str">
        <f t="shared" ca="1" si="1"/>
        <v>28 THN 7 BLN</v>
      </c>
    </row>
    <row r="54" spans="1:11" x14ac:dyDescent="0.35">
      <c r="A54" s="2">
        <v>52</v>
      </c>
      <c r="B54" s="2" t="s">
        <v>88</v>
      </c>
      <c r="C54" s="2">
        <v>273</v>
      </c>
      <c r="D54" s="3" t="s">
        <v>89</v>
      </c>
      <c r="E54" s="11">
        <v>43452</v>
      </c>
      <c r="F54" s="2" t="str">
        <f t="shared" ca="1" si="0"/>
        <v>7 THN 8 BLN</v>
      </c>
      <c r="G54" s="3" t="s">
        <v>87</v>
      </c>
      <c r="H54" s="2" t="s">
        <v>106</v>
      </c>
      <c r="I54" s="19"/>
      <c r="J54" s="11">
        <v>33273</v>
      </c>
      <c r="K54" s="2" t="str">
        <f t="shared" ca="1" si="1"/>
        <v>35 THN 6 BLN</v>
      </c>
    </row>
    <row r="55" spans="1:11" x14ac:dyDescent="0.35">
      <c r="A55" s="2">
        <v>53</v>
      </c>
      <c r="B55" s="2" t="s">
        <v>88</v>
      </c>
      <c r="C55" s="2">
        <v>40</v>
      </c>
      <c r="D55" s="3" t="s">
        <v>54</v>
      </c>
      <c r="E55" s="11">
        <v>41524</v>
      </c>
      <c r="F55" s="2" t="str">
        <f t="shared" ca="1" si="0"/>
        <v>12 THN 11 BLN</v>
      </c>
      <c r="G55" s="3" t="s">
        <v>135</v>
      </c>
      <c r="H55" s="2" t="s">
        <v>107</v>
      </c>
      <c r="I55" s="19"/>
      <c r="J55" s="11">
        <v>35382</v>
      </c>
      <c r="K55" s="2" t="str">
        <f t="shared" ca="1" si="1"/>
        <v>29 THN 9 BLN</v>
      </c>
    </row>
    <row r="56" spans="1:11" x14ac:dyDescent="0.35">
      <c r="A56" s="2">
        <v>54</v>
      </c>
      <c r="B56" s="2" t="s">
        <v>88</v>
      </c>
      <c r="C56" s="2">
        <v>82</v>
      </c>
      <c r="D56" s="3" t="s">
        <v>38</v>
      </c>
      <c r="E56" s="11">
        <v>42212</v>
      </c>
      <c r="F56" s="2" t="str">
        <f t="shared" ca="1" si="0"/>
        <v>11 THN 1 BLN</v>
      </c>
      <c r="G56" s="3" t="s">
        <v>135</v>
      </c>
      <c r="H56" s="2" t="s">
        <v>107</v>
      </c>
      <c r="I56" s="19"/>
      <c r="J56" s="11">
        <v>34624</v>
      </c>
      <c r="K56" s="2" t="str">
        <f t="shared" ca="1" si="1"/>
        <v>31 THN 10 BLN</v>
      </c>
    </row>
    <row r="57" spans="1:11" x14ac:dyDescent="0.35">
      <c r="A57" s="2">
        <v>55</v>
      </c>
      <c r="B57" s="2" t="s">
        <v>88</v>
      </c>
      <c r="C57" s="2">
        <v>36</v>
      </c>
      <c r="D57" s="3" t="s">
        <v>55</v>
      </c>
      <c r="E57" s="11">
        <v>41858</v>
      </c>
      <c r="F57" s="2" t="str">
        <f t="shared" ca="1" si="0"/>
        <v>12 THN 0 BLN</v>
      </c>
      <c r="G57" s="3" t="s">
        <v>136</v>
      </c>
      <c r="H57" s="2" t="s">
        <v>107</v>
      </c>
      <c r="I57" s="19"/>
      <c r="J57" s="11">
        <v>30746</v>
      </c>
      <c r="K57" s="2" t="str">
        <f t="shared" ca="1" si="1"/>
        <v>42 THN 5 BLN</v>
      </c>
    </row>
    <row r="58" spans="1:11" x14ac:dyDescent="0.35">
      <c r="A58" s="2">
        <v>56</v>
      </c>
      <c r="B58" s="2" t="s">
        <v>88</v>
      </c>
      <c r="C58" s="2">
        <v>101</v>
      </c>
      <c r="D58" s="3" t="s">
        <v>56</v>
      </c>
      <c r="E58" s="11">
        <v>42522</v>
      </c>
      <c r="F58" s="2" t="str">
        <f t="shared" ca="1" si="0"/>
        <v>10 THN 2 BLN</v>
      </c>
      <c r="G58" s="3" t="s">
        <v>136</v>
      </c>
      <c r="H58" s="2" t="s">
        <v>107</v>
      </c>
      <c r="I58" s="19"/>
      <c r="J58" s="11">
        <v>29395</v>
      </c>
      <c r="K58" s="2" t="str">
        <f t="shared" ca="1" si="1"/>
        <v>46 THN 2 BLN</v>
      </c>
    </row>
    <row r="59" spans="1:11" x14ac:dyDescent="0.35">
      <c r="A59" s="2">
        <v>57</v>
      </c>
      <c r="B59" s="2" t="s">
        <v>88</v>
      </c>
      <c r="C59" s="2">
        <v>161</v>
      </c>
      <c r="D59" s="3" t="s">
        <v>57</v>
      </c>
      <c r="E59" s="11">
        <v>42756</v>
      </c>
      <c r="F59" s="2" t="str">
        <f t="shared" ca="1" si="0"/>
        <v>9 THN 7 BLN</v>
      </c>
      <c r="G59" s="3" t="s">
        <v>136</v>
      </c>
      <c r="H59" s="2" t="s">
        <v>107</v>
      </c>
      <c r="I59" s="19"/>
      <c r="J59" s="11">
        <v>34945</v>
      </c>
      <c r="K59" s="2" t="str">
        <f t="shared" ca="1" si="1"/>
        <v>30 THN 11 BLN</v>
      </c>
    </row>
    <row r="60" spans="1:11" x14ac:dyDescent="0.35">
      <c r="A60" s="2">
        <v>58</v>
      </c>
      <c r="B60" s="2" t="s">
        <v>90</v>
      </c>
      <c r="C60" s="2">
        <v>3</v>
      </c>
      <c r="D60" s="3" t="s">
        <v>61</v>
      </c>
      <c r="E60" s="11">
        <v>35846</v>
      </c>
      <c r="F60" s="2" t="str">
        <f t="shared" ca="1" si="0"/>
        <v>28 THN 6 BLN</v>
      </c>
      <c r="G60" s="3" t="s">
        <v>62</v>
      </c>
      <c r="H60" s="2" t="s">
        <v>107</v>
      </c>
      <c r="I60" s="19"/>
      <c r="J60" s="11">
        <v>27161</v>
      </c>
      <c r="K60" s="2" t="str">
        <f t="shared" ca="1" si="1"/>
        <v>52 THN 3 BLN</v>
      </c>
    </row>
    <row r="61" spans="1:11" x14ac:dyDescent="0.35">
      <c r="A61" s="2">
        <v>59</v>
      </c>
      <c r="B61" s="2" t="s">
        <v>90</v>
      </c>
      <c r="C61" s="2">
        <v>180</v>
      </c>
      <c r="D61" s="3" t="s">
        <v>63</v>
      </c>
      <c r="E61" s="11">
        <v>42793</v>
      </c>
      <c r="F61" s="2" t="str">
        <f t="shared" ca="1" si="0"/>
        <v>9 THN 6 BLN</v>
      </c>
      <c r="G61" s="3" t="s">
        <v>137</v>
      </c>
      <c r="H61" s="2" t="s">
        <v>107</v>
      </c>
      <c r="I61" s="19"/>
      <c r="J61" s="11">
        <v>34893</v>
      </c>
      <c r="K61" s="2" t="str">
        <f t="shared" ca="1" si="1"/>
        <v>31 THN 1 BLN</v>
      </c>
    </row>
    <row r="62" spans="1:11" x14ac:dyDescent="0.35">
      <c r="A62" s="2">
        <v>60</v>
      </c>
      <c r="B62" s="2" t="s">
        <v>90</v>
      </c>
      <c r="C62" s="2">
        <v>205</v>
      </c>
      <c r="D62" s="3" t="s">
        <v>64</v>
      </c>
      <c r="E62" s="11">
        <v>42954</v>
      </c>
      <c r="F62" s="2" t="str">
        <f t="shared" ca="1" si="0"/>
        <v>9 THN 0 BLN</v>
      </c>
      <c r="G62" s="3" t="s">
        <v>137</v>
      </c>
      <c r="H62" s="2" t="s">
        <v>107</v>
      </c>
      <c r="I62" s="19"/>
      <c r="J62" s="11">
        <v>32608</v>
      </c>
      <c r="K62" s="2" t="str">
        <f t="shared" ca="1" si="1"/>
        <v>37 THN 4 BLN</v>
      </c>
    </row>
    <row r="63" spans="1:11" x14ac:dyDescent="0.35">
      <c r="A63" s="2">
        <v>61</v>
      </c>
      <c r="B63" s="2" t="s">
        <v>90</v>
      </c>
      <c r="C63" s="2">
        <v>263</v>
      </c>
      <c r="D63" s="3" t="s">
        <v>65</v>
      </c>
      <c r="E63" s="11">
        <v>43347</v>
      </c>
      <c r="F63" s="2" t="str">
        <f t="shared" ca="1" si="0"/>
        <v>7 THN 11 BLN</v>
      </c>
      <c r="G63" s="3" t="s">
        <v>138</v>
      </c>
      <c r="H63" s="2" t="s">
        <v>107</v>
      </c>
      <c r="I63" s="19"/>
      <c r="J63" s="11">
        <v>33595</v>
      </c>
      <c r="K63" s="2" t="str">
        <f t="shared" ca="1" si="1"/>
        <v>34 THN 8 BLN</v>
      </c>
    </row>
    <row r="64" spans="1:11" x14ac:dyDescent="0.35">
      <c r="A64" s="2">
        <v>62</v>
      </c>
      <c r="B64" s="2" t="s">
        <v>90</v>
      </c>
      <c r="C64" s="2">
        <v>234</v>
      </c>
      <c r="D64" s="3" t="s">
        <v>66</v>
      </c>
      <c r="E64" s="11">
        <v>43199</v>
      </c>
      <c r="F64" s="2" t="str">
        <f t="shared" ca="1" si="0"/>
        <v>8 THN 4 BLN</v>
      </c>
      <c r="G64" s="3" t="s">
        <v>138</v>
      </c>
      <c r="H64" s="2" t="s">
        <v>107</v>
      </c>
      <c r="I64" s="19"/>
      <c r="J64" s="11">
        <v>34321</v>
      </c>
      <c r="K64" s="2" t="str">
        <f t="shared" ca="1" si="1"/>
        <v>32 THN 8 BLN</v>
      </c>
    </row>
    <row r="65" spans="1:11" x14ac:dyDescent="0.35">
      <c r="A65" s="2">
        <v>63</v>
      </c>
      <c r="B65" s="2" t="s">
        <v>90</v>
      </c>
      <c r="C65" s="12">
        <v>252</v>
      </c>
      <c r="D65" s="13" t="s">
        <v>68</v>
      </c>
      <c r="E65" s="14">
        <v>43340</v>
      </c>
      <c r="F65" s="2" t="str">
        <f t="shared" ca="1" si="0"/>
        <v>8 THN 0 BLN</v>
      </c>
      <c r="G65" s="3" t="s">
        <v>138</v>
      </c>
      <c r="H65" s="2" t="s">
        <v>107</v>
      </c>
      <c r="I65" s="19"/>
      <c r="J65" s="11">
        <v>36452</v>
      </c>
      <c r="K65" s="2" t="str">
        <f t="shared" ca="1" si="1"/>
        <v>26 THN 10 BLN</v>
      </c>
    </row>
    <row r="66" spans="1:11" x14ac:dyDescent="0.35">
      <c r="A66" s="2">
        <v>64</v>
      </c>
      <c r="B66" s="2" t="s">
        <v>90</v>
      </c>
      <c r="C66" s="12">
        <v>298</v>
      </c>
      <c r="D66" s="13" t="s">
        <v>91</v>
      </c>
      <c r="E66" s="14">
        <v>43518</v>
      </c>
      <c r="F66" s="2" t="str">
        <f t="shared" ca="1" si="0"/>
        <v>7 THN 6 BLN</v>
      </c>
      <c r="G66" s="3" t="s">
        <v>139</v>
      </c>
      <c r="H66" s="2" t="s">
        <v>107</v>
      </c>
      <c r="I66" s="19"/>
      <c r="J66" s="11">
        <v>35156</v>
      </c>
      <c r="K66" s="2" t="str">
        <f t="shared" ca="1" si="1"/>
        <v>30 THN 4 BLN</v>
      </c>
    </row>
    <row r="67" spans="1:11" x14ac:dyDescent="0.35">
      <c r="A67" s="2">
        <v>65</v>
      </c>
      <c r="B67" s="2" t="s">
        <v>90</v>
      </c>
      <c r="C67" s="12">
        <v>352</v>
      </c>
      <c r="D67" s="13" t="s">
        <v>116</v>
      </c>
      <c r="E67" s="14">
        <v>43901</v>
      </c>
      <c r="F67" s="2" t="str">
        <f t="shared" ca="1" si="0"/>
        <v>6 THN 5 BLN</v>
      </c>
      <c r="G67" s="3" t="s">
        <v>67</v>
      </c>
      <c r="H67" s="2"/>
      <c r="I67" s="19"/>
      <c r="J67" s="11">
        <v>34468</v>
      </c>
      <c r="K67" s="2" t="str">
        <f t="shared" ca="1" si="1"/>
        <v>32 THN 3 BLN</v>
      </c>
    </row>
    <row r="68" spans="1:11" x14ac:dyDescent="0.35">
      <c r="A68" s="2">
        <v>66</v>
      </c>
      <c r="B68" s="2" t="s">
        <v>90</v>
      </c>
      <c r="C68" s="12">
        <v>355</v>
      </c>
      <c r="D68" s="13" t="s">
        <v>117</v>
      </c>
      <c r="E68" s="14">
        <v>43917</v>
      </c>
      <c r="F68" s="2" t="str">
        <f t="shared" ca="1" si="0"/>
        <v>6 THN 5 BLN</v>
      </c>
      <c r="G68" s="3" t="s">
        <v>67</v>
      </c>
      <c r="H68" s="2"/>
      <c r="I68" s="19"/>
      <c r="J68" s="11">
        <v>36812</v>
      </c>
      <c r="K68" s="2" t="str">
        <f t="shared" ca="1" si="1"/>
        <v>25 THN 10 BLN</v>
      </c>
    </row>
    <row r="69" spans="1:11" x14ac:dyDescent="0.35">
      <c r="A69" s="2">
        <v>67</v>
      </c>
      <c r="B69" s="2" t="s">
        <v>69</v>
      </c>
      <c r="C69" s="2">
        <v>33</v>
      </c>
      <c r="D69" s="3" t="s">
        <v>71</v>
      </c>
      <c r="E69" s="11">
        <v>41862</v>
      </c>
      <c r="F69" s="2" t="str">
        <f t="shared" ref="F69:F82" ca="1" si="2">DATEDIF(E69,TODAY(),"Y")&amp; " THN "&amp;DATEDIF(E69,TODAY(),"YM")&amp;" BLN"</f>
        <v>12 THN 0 BLN</v>
      </c>
      <c r="G69" s="3" t="s">
        <v>72</v>
      </c>
      <c r="H69" s="2" t="s">
        <v>107</v>
      </c>
      <c r="I69" s="19"/>
      <c r="J69" s="11">
        <v>25423</v>
      </c>
      <c r="K69" s="2" t="str">
        <f t="shared" ref="K69:K82" ca="1" si="3">DATEDIF(J69,TODAY(),"Y")&amp; " THN "&amp;DATEDIF(J69,TODAY(),"YM")&amp;" BLN"</f>
        <v>57 THN 0 BLN</v>
      </c>
    </row>
    <row r="70" spans="1:11" x14ac:dyDescent="0.35">
      <c r="A70" s="2">
        <v>68</v>
      </c>
      <c r="B70" s="2" t="s">
        <v>69</v>
      </c>
      <c r="C70" s="2">
        <v>10</v>
      </c>
      <c r="D70" s="3" t="s">
        <v>73</v>
      </c>
      <c r="E70" s="11">
        <v>40463</v>
      </c>
      <c r="F70" s="2" t="str">
        <f t="shared" ca="1" si="2"/>
        <v>15 THN 10 BLN</v>
      </c>
      <c r="G70" s="3" t="s">
        <v>140</v>
      </c>
      <c r="H70" s="2" t="s">
        <v>107</v>
      </c>
      <c r="I70" s="19"/>
      <c r="J70" s="11">
        <v>28361</v>
      </c>
      <c r="K70" s="2" t="str">
        <f t="shared" ca="1" si="3"/>
        <v>49 THN 0 BLN</v>
      </c>
    </row>
    <row r="71" spans="1:11" x14ac:dyDescent="0.35">
      <c r="A71" s="2">
        <v>69</v>
      </c>
      <c r="B71" s="2" t="s">
        <v>69</v>
      </c>
      <c r="C71" s="2">
        <v>316</v>
      </c>
      <c r="D71" s="3" t="s">
        <v>92</v>
      </c>
      <c r="E71" s="11">
        <v>43575</v>
      </c>
      <c r="F71" s="2" t="str">
        <f t="shared" ca="1" si="2"/>
        <v>7 THN 4 BLN</v>
      </c>
      <c r="G71" s="3" t="s">
        <v>140</v>
      </c>
      <c r="H71" s="2" t="s">
        <v>107</v>
      </c>
      <c r="I71" s="19"/>
      <c r="J71" s="11">
        <v>27207</v>
      </c>
      <c r="K71" s="2" t="str">
        <f t="shared" ca="1" si="3"/>
        <v>52 THN 2 BLN</v>
      </c>
    </row>
    <row r="72" spans="1:11" x14ac:dyDescent="0.35">
      <c r="A72" s="2">
        <v>70</v>
      </c>
      <c r="B72" s="2" t="s">
        <v>69</v>
      </c>
      <c r="C72" s="2">
        <v>341</v>
      </c>
      <c r="D72" s="3" t="s">
        <v>118</v>
      </c>
      <c r="E72" s="11">
        <v>43823</v>
      </c>
      <c r="F72" s="2" t="str">
        <f t="shared" ca="1" si="2"/>
        <v>6 THN 8 BLN</v>
      </c>
      <c r="G72" s="3" t="s">
        <v>140</v>
      </c>
      <c r="H72" s="2"/>
      <c r="I72" s="19"/>
      <c r="J72" s="11">
        <v>29104</v>
      </c>
      <c r="K72" s="2" t="str">
        <f t="shared" ca="1" si="3"/>
        <v>46 THN 11 BLN</v>
      </c>
    </row>
    <row r="73" spans="1:11" x14ac:dyDescent="0.35">
      <c r="A73" s="2">
        <v>71</v>
      </c>
      <c r="B73" s="2" t="s">
        <v>69</v>
      </c>
      <c r="C73" s="2">
        <v>285</v>
      </c>
      <c r="D73" s="3" t="s">
        <v>93</v>
      </c>
      <c r="E73" s="11">
        <v>43494</v>
      </c>
      <c r="F73" s="2" t="str">
        <f t="shared" ca="1" si="2"/>
        <v>7 THN 7 BLN</v>
      </c>
      <c r="G73" s="3" t="s">
        <v>141</v>
      </c>
      <c r="H73" s="2" t="s">
        <v>107</v>
      </c>
      <c r="I73" s="19"/>
      <c r="J73" s="11">
        <v>35720</v>
      </c>
      <c r="K73" s="2" t="str">
        <f t="shared" ca="1" si="3"/>
        <v>28 THN 10 BLN</v>
      </c>
    </row>
    <row r="74" spans="1:11" x14ac:dyDescent="0.35">
      <c r="A74" s="2">
        <v>72</v>
      </c>
      <c r="B74" s="2" t="s">
        <v>69</v>
      </c>
      <c r="C74" s="2">
        <v>358</v>
      </c>
      <c r="D74" s="3" t="s">
        <v>144</v>
      </c>
      <c r="E74" s="11">
        <v>44020</v>
      </c>
      <c r="F74" s="2" t="str">
        <f t="shared" ca="1" si="2"/>
        <v>6 THN 1 BLN</v>
      </c>
      <c r="G74" s="3" t="s">
        <v>145</v>
      </c>
      <c r="H74" s="2"/>
      <c r="I74" s="19"/>
      <c r="J74" s="11">
        <v>35797</v>
      </c>
      <c r="K74" s="2" t="str">
        <f t="shared" ca="1" si="3"/>
        <v>28 THN 7 BLN</v>
      </c>
    </row>
    <row r="75" spans="1:11" x14ac:dyDescent="0.35">
      <c r="A75" s="2">
        <v>73</v>
      </c>
      <c r="B75" s="2" t="s">
        <v>74</v>
      </c>
      <c r="C75" s="2">
        <v>242</v>
      </c>
      <c r="D75" s="3" t="s">
        <v>76</v>
      </c>
      <c r="E75" s="11">
        <v>43299</v>
      </c>
      <c r="F75" s="2" t="str">
        <f t="shared" ca="1" si="2"/>
        <v>8 THN 1 BLN</v>
      </c>
      <c r="G75" s="15" t="s">
        <v>94</v>
      </c>
      <c r="H75" s="2" t="s">
        <v>106</v>
      </c>
      <c r="I75" s="19"/>
      <c r="J75" s="11">
        <v>28636</v>
      </c>
      <c r="K75" s="2" t="str">
        <f t="shared" ca="1" si="3"/>
        <v>48 THN 3 BLN</v>
      </c>
    </row>
    <row r="76" spans="1:11" x14ac:dyDescent="0.35">
      <c r="A76" s="2">
        <v>74</v>
      </c>
      <c r="B76" s="2" t="s">
        <v>74</v>
      </c>
      <c r="C76" s="2">
        <v>225</v>
      </c>
      <c r="D76" s="3" t="s">
        <v>75</v>
      </c>
      <c r="E76" s="11">
        <v>43164</v>
      </c>
      <c r="F76" s="2" t="str">
        <f t="shared" ca="1" si="2"/>
        <v>8 THN 5 BLN</v>
      </c>
      <c r="G76" s="15" t="s">
        <v>95</v>
      </c>
      <c r="H76" s="2" t="s">
        <v>106</v>
      </c>
      <c r="I76" s="19"/>
      <c r="J76" s="11">
        <v>29877</v>
      </c>
      <c r="K76" s="2" t="str">
        <f t="shared" ca="1" si="3"/>
        <v>44 THN 10 BLN</v>
      </c>
    </row>
    <row r="77" spans="1:11" x14ac:dyDescent="0.35">
      <c r="A77" s="2">
        <v>75</v>
      </c>
      <c r="B77" s="2" t="s">
        <v>74</v>
      </c>
      <c r="C77" s="2">
        <v>295</v>
      </c>
      <c r="D77" s="3" t="s">
        <v>96</v>
      </c>
      <c r="E77" s="11">
        <v>43509</v>
      </c>
      <c r="F77" s="2" t="str">
        <f t="shared" ca="1" si="2"/>
        <v>7 THN 6 BLN</v>
      </c>
      <c r="G77" s="15" t="s">
        <v>95</v>
      </c>
      <c r="H77" s="2" t="s">
        <v>106</v>
      </c>
      <c r="I77" s="19"/>
      <c r="J77" s="11">
        <v>26829</v>
      </c>
      <c r="K77" s="2" t="str">
        <f t="shared" ca="1" si="3"/>
        <v>53 THN 2 BLN</v>
      </c>
    </row>
    <row r="78" spans="1:11" x14ac:dyDescent="0.35">
      <c r="A78" s="2">
        <v>76</v>
      </c>
      <c r="B78" s="2" t="s">
        <v>77</v>
      </c>
      <c r="C78" s="2">
        <v>132</v>
      </c>
      <c r="D78" s="3" t="s">
        <v>79</v>
      </c>
      <c r="E78" s="11">
        <v>42514</v>
      </c>
      <c r="F78" s="2" t="str">
        <f t="shared" ca="1" si="2"/>
        <v>10 THN 3 BLN</v>
      </c>
      <c r="G78" s="3" t="s">
        <v>80</v>
      </c>
      <c r="H78" s="2" t="s">
        <v>107</v>
      </c>
      <c r="I78" s="5"/>
      <c r="J78" s="11">
        <v>25334</v>
      </c>
      <c r="K78" s="2" t="str">
        <f t="shared" ca="1" si="3"/>
        <v>57 THN 3 BLN</v>
      </c>
    </row>
    <row r="79" spans="1:11" x14ac:dyDescent="0.35">
      <c r="A79" s="2">
        <v>77</v>
      </c>
      <c r="B79" s="2" t="s">
        <v>77</v>
      </c>
      <c r="C79" s="2">
        <v>339</v>
      </c>
      <c r="D79" s="3" t="s">
        <v>120</v>
      </c>
      <c r="E79" s="11">
        <v>43810</v>
      </c>
      <c r="F79" s="2" t="str">
        <f t="shared" ca="1" si="2"/>
        <v>6 THN 8 BLN</v>
      </c>
      <c r="G79" s="3" t="s">
        <v>78</v>
      </c>
      <c r="H79" s="2"/>
      <c r="I79" s="5"/>
      <c r="J79" s="11">
        <v>29972</v>
      </c>
      <c r="K79" s="2" t="str">
        <f t="shared" ca="1" si="3"/>
        <v>44 THN 7 BLN</v>
      </c>
    </row>
    <row r="80" spans="1:11" x14ac:dyDescent="0.35">
      <c r="A80" s="2">
        <v>78</v>
      </c>
      <c r="B80" s="2" t="s">
        <v>101</v>
      </c>
      <c r="C80" s="2">
        <v>304</v>
      </c>
      <c r="D80" s="3" t="s">
        <v>102</v>
      </c>
      <c r="E80" s="11">
        <v>43525</v>
      </c>
      <c r="F80" s="2" t="str">
        <f t="shared" ca="1" si="2"/>
        <v>7 THN 5 BLN</v>
      </c>
      <c r="G80" s="3" t="s">
        <v>142</v>
      </c>
      <c r="H80" s="2" t="s">
        <v>106</v>
      </c>
      <c r="I80" s="19"/>
      <c r="J80" s="11">
        <v>34586</v>
      </c>
      <c r="K80" s="2" t="str">
        <f t="shared" ca="1" si="3"/>
        <v>31 THN 11 BLN</v>
      </c>
    </row>
    <row r="81" spans="1:11" x14ac:dyDescent="0.35">
      <c r="A81" s="2">
        <v>79</v>
      </c>
      <c r="B81" s="2" t="s">
        <v>101</v>
      </c>
      <c r="C81" s="2">
        <v>306</v>
      </c>
      <c r="D81" s="3" t="s">
        <v>103</v>
      </c>
      <c r="E81" s="11">
        <v>43525</v>
      </c>
      <c r="F81" s="2" t="str">
        <f t="shared" ca="1" si="2"/>
        <v>7 THN 5 BLN</v>
      </c>
      <c r="G81" s="3" t="s">
        <v>142</v>
      </c>
      <c r="H81" s="2" t="s">
        <v>106</v>
      </c>
      <c r="I81" s="19"/>
      <c r="J81" s="11">
        <v>34500</v>
      </c>
      <c r="K81" s="2" t="str">
        <f t="shared" ca="1" si="3"/>
        <v>32 THN 2 BLN</v>
      </c>
    </row>
    <row r="82" spans="1:11" x14ac:dyDescent="0.35">
      <c r="A82" s="2">
        <v>80</v>
      </c>
      <c r="B82" s="2" t="s">
        <v>101</v>
      </c>
      <c r="C82" s="2">
        <v>307</v>
      </c>
      <c r="D82" s="3" t="s">
        <v>104</v>
      </c>
      <c r="E82" s="11">
        <v>43525</v>
      </c>
      <c r="F82" s="2" t="str">
        <f t="shared" ca="1" si="2"/>
        <v>7 THN 5 BLN</v>
      </c>
      <c r="G82" s="3" t="s">
        <v>142</v>
      </c>
      <c r="H82" s="2" t="s">
        <v>106</v>
      </c>
      <c r="I82" s="19"/>
      <c r="J82" s="11">
        <v>35194</v>
      </c>
      <c r="K82" s="2" t="str">
        <f t="shared" ca="1" si="3"/>
        <v>30 THN 3 BLN</v>
      </c>
    </row>
    <row r="83" spans="1:11" x14ac:dyDescent="0.35">
      <c r="B83" s="5"/>
      <c r="C83" s="5"/>
      <c r="D83" s="1"/>
      <c r="E83" s="5"/>
      <c r="G83" s="6"/>
      <c r="H83" s="1"/>
    </row>
    <row r="84" spans="1:11" x14ac:dyDescent="0.35">
      <c r="B84" s="5"/>
      <c r="C84" s="5"/>
      <c r="D84" s="1"/>
      <c r="E84" s="5"/>
      <c r="G84" s="6"/>
      <c r="H84" s="1"/>
    </row>
    <row r="85" spans="1:11" x14ac:dyDescent="0.35">
      <c r="B85" s="5"/>
      <c r="C85" s="5"/>
      <c r="D85" s="1"/>
      <c r="E85" s="5"/>
      <c r="G85" s="6"/>
      <c r="H85" s="1"/>
    </row>
    <row r="86" spans="1:11" x14ac:dyDescent="0.35">
      <c r="B86" s="5"/>
      <c r="C86" s="5"/>
      <c r="D86" s="1"/>
      <c r="E86" s="5"/>
      <c r="G86" s="6"/>
      <c r="H86" s="1"/>
    </row>
    <row r="87" spans="1:11" x14ac:dyDescent="0.35">
      <c r="B87" s="5"/>
      <c r="C87" s="5"/>
      <c r="D87" s="1"/>
      <c r="E87" s="5"/>
      <c r="G87" s="6"/>
      <c r="H87" s="1"/>
    </row>
    <row r="88" spans="1:11" x14ac:dyDescent="0.35">
      <c r="B88" s="5"/>
      <c r="C88" s="5"/>
      <c r="D88" s="1"/>
      <c r="E88" s="5"/>
      <c r="G88" s="6"/>
      <c r="H88" s="1"/>
    </row>
    <row r="89" spans="1:11" x14ac:dyDescent="0.35">
      <c r="B89" s="5"/>
      <c r="C89" s="5"/>
      <c r="D89" s="1"/>
      <c r="E89" s="5"/>
      <c r="G89" s="6"/>
      <c r="H89" s="1"/>
    </row>
    <row r="90" spans="1:11" x14ac:dyDescent="0.35">
      <c r="B90" s="5"/>
      <c r="C90" s="5"/>
      <c r="D90" s="1"/>
      <c r="E90" s="5"/>
      <c r="G90" s="6"/>
      <c r="H90" s="1"/>
    </row>
    <row r="91" spans="1:11" x14ac:dyDescent="0.35">
      <c r="B91" s="5"/>
      <c r="C91" s="5"/>
      <c r="D91" s="1"/>
      <c r="E91" s="5"/>
      <c r="G91" s="6"/>
      <c r="H91" s="1"/>
    </row>
    <row r="92" spans="1:11" x14ac:dyDescent="0.35">
      <c r="B92" s="5"/>
      <c r="C92" s="5"/>
      <c r="D92" s="1"/>
      <c r="E92" s="5"/>
      <c r="G92" s="6"/>
      <c r="H92" s="1"/>
    </row>
    <row r="93" spans="1:11" x14ac:dyDescent="0.35">
      <c r="B93" s="5"/>
      <c r="C93" s="5"/>
      <c r="D93" s="1"/>
      <c r="E93" s="5"/>
      <c r="G93" s="6"/>
      <c r="H93" s="1"/>
    </row>
    <row r="94" spans="1:11" x14ac:dyDescent="0.35">
      <c r="B94" s="5"/>
      <c r="C94" s="5"/>
      <c r="D94" s="1"/>
      <c r="E94" s="5"/>
      <c r="G94" s="6"/>
      <c r="H94" s="1"/>
    </row>
    <row r="95" spans="1:11" x14ac:dyDescent="0.35">
      <c r="B95" s="5"/>
      <c r="C95" s="5"/>
      <c r="D95" s="1"/>
      <c r="E95" s="5"/>
      <c r="G95" s="6"/>
      <c r="H95" s="1"/>
    </row>
    <row r="96" spans="1:11" x14ac:dyDescent="0.35">
      <c r="B96" s="5"/>
      <c r="C96" s="5"/>
      <c r="D96" s="1"/>
      <c r="E96" s="5"/>
      <c r="G96" s="6"/>
      <c r="H96" s="1"/>
    </row>
    <row r="97" spans="2:8" x14ac:dyDescent="0.35">
      <c r="B97" s="5"/>
      <c r="C97" s="5"/>
      <c r="D97" s="1"/>
      <c r="E97" s="5"/>
      <c r="G97" s="6"/>
      <c r="H97" s="1"/>
    </row>
    <row r="98" spans="2:8" x14ac:dyDescent="0.35">
      <c r="B98" s="5"/>
      <c r="C98" s="5"/>
      <c r="D98" s="1"/>
      <c r="E98" s="5"/>
      <c r="G98" s="6"/>
      <c r="H98" s="1"/>
    </row>
    <row r="99" spans="2:8" x14ac:dyDescent="0.35">
      <c r="B99" s="5"/>
      <c r="C99" s="5"/>
      <c r="D99" s="1"/>
      <c r="E99" s="5"/>
      <c r="G99" s="6"/>
      <c r="H99" s="1"/>
    </row>
    <row r="100" spans="2:8" x14ac:dyDescent="0.35">
      <c r="B100" s="5"/>
      <c r="C100" s="5"/>
      <c r="D100" s="1"/>
      <c r="E100" s="5"/>
      <c r="G100" s="6"/>
      <c r="H100" s="1"/>
    </row>
    <row r="101" spans="2:8" x14ac:dyDescent="0.35">
      <c r="B101" s="5"/>
      <c r="C101" s="5"/>
      <c r="D101" s="1"/>
      <c r="E101" s="5"/>
      <c r="G101" s="6"/>
      <c r="H101" s="1"/>
    </row>
    <row r="102" spans="2:8" x14ac:dyDescent="0.35">
      <c r="B102" s="5"/>
      <c r="C102" s="5"/>
      <c r="D102" s="1"/>
      <c r="E102" s="5"/>
      <c r="G102" s="6"/>
      <c r="H102" s="1"/>
    </row>
    <row r="103" spans="2:8" x14ac:dyDescent="0.35">
      <c r="B103" s="5"/>
      <c r="C103" s="5"/>
      <c r="D103" s="1"/>
      <c r="E103" s="5"/>
      <c r="G103" s="6"/>
      <c r="H103" s="1"/>
    </row>
    <row r="104" spans="2:8" x14ac:dyDescent="0.35">
      <c r="B104" s="5"/>
      <c r="C104" s="5"/>
      <c r="D104" s="1"/>
      <c r="E104" s="5"/>
      <c r="G104" s="6"/>
      <c r="H104" s="1"/>
    </row>
    <row r="105" spans="2:8" x14ac:dyDescent="0.35">
      <c r="B105" s="5"/>
      <c r="C105" s="5"/>
      <c r="D105" s="1"/>
      <c r="E105" s="5"/>
      <c r="G105" s="6"/>
      <c r="H105" s="1"/>
    </row>
    <row r="106" spans="2:8" x14ac:dyDescent="0.35">
      <c r="B106" s="5"/>
      <c r="C106" s="5"/>
      <c r="D106" s="1"/>
      <c r="E106" s="5"/>
      <c r="G106" s="6"/>
      <c r="H106" s="1"/>
    </row>
    <row r="107" spans="2:8" x14ac:dyDescent="0.35">
      <c r="B107" s="5"/>
      <c r="C107" s="5"/>
      <c r="D107" s="1"/>
      <c r="E107" s="5"/>
      <c r="G107" s="6"/>
      <c r="H107" s="1"/>
    </row>
    <row r="108" spans="2:8" x14ac:dyDescent="0.35">
      <c r="B108" s="5"/>
      <c r="C108" s="5"/>
      <c r="D108" s="1"/>
      <c r="E108" s="5"/>
      <c r="G108" s="6"/>
      <c r="H108" s="1"/>
    </row>
    <row r="109" spans="2:8" x14ac:dyDescent="0.35">
      <c r="B109" s="5"/>
      <c r="C109" s="5"/>
      <c r="D109" s="1"/>
      <c r="E109" s="5"/>
      <c r="G109" s="6"/>
      <c r="H109" s="1"/>
    </row>
    <row r="110" spans="2:8" x14ac:dyDescent="0.35">
      <c r="B110" s="5"/>
      <c r="C110" s="5"/>
      <c r="D110" s="1"/>
      <c r="E110" s="5"/>
      <c r="G110" s="6"/>
      <c r="H110" s="1"/>
    </row>
    <row r="111" spans="2:8" x14ac:dyDescent="0.35">
      <c r="B111" s="5"/>
      <c r="C111" s="5"/>
      <c r="D111" s="1"/>
      <c r="E111" s="5"/>
      <c r="G111" s="6"/>
      <c r="H111" s="1"/>
    </row>
    <row r="112" spans="2:8" x14ac:dyDescent="0.35">
      <c r="B112" s="5"/>
      <c r="C112" s="5"/>
      <c r="D112" s="1"/>
      <c r="E112" s="5"/>
      <c r="G112" s="6"/>
      <c r="H112" s="1"/>
    </row>
    <row r="113" spans="2:8" x14ac:dyDescent="0.35">
      <c r="B113" s="5"/>
      <c r="C113" s="5"/>
      <c r="D113" s="1"/>
      <c r="E113" s="5"/>
      <c r="G113" s="6"/>
      <c r="H113" s="1"/>
    </row>
    <row r="114" spans="2:8" x14ac:dyDescent="0.35">
      <c r="B114" s="5"/>
      <c r="C114" s="5"/>
      <c r="D114" s="1"/>
      <c r="E114" s="5"/>
      <c r="G114" s="6"/>
      <c r="H114" s="1"/>
    </row>
    <row r="115" spans="2:8" x14ac:dyDescent="0.35">
      <c r="B115" s="5"/>
      <c r="C115" s="5"/>
      <c r="D115" s="1"/>
      <c r="E115" s="5"/>
      <c r="G115" s="6"/>
      <c r="H115" s="1"/>
    </row>
    <row r="116" spans="2:8" x14ac:dyDescent="0.35">
      <c r="B116" s="5"/>
      <c r="C116" s="5"/>
      <c r="D116" s="1"/>
      <c r="E116" s="5"/>
      <c r="G116" s="6"/>
      <c r="H116" s="1"/>
    </row>
    <row r="117" spans="2:8" x14ac:dyDescent="0.35">
      <c r="B117" s="5"/>
      <c r="C117" s="5"/>
      <c r="D117" s="1"/>
      <c r="E117" s="5"/>
      <c r="G117" s="6"/>
      <c r="H117" s="1"/>
    </row>
    <row r="118" spans="2:8" x14ac:dyDescent="0.35">
      <c r="B118" s="5"/>
      <c r="C118" s="5"/>
      <c r="D118" s="1"/>
      <c r="E118" s="5"/>
      <c r="G118" s="6"/>
      <c r="H118" s="1"/>
    </row>
    <row r="119" spans="2:8" x14ac:dyDescent="0.35">
      <c r="B119" s="5"/>
      <c r="C119" s="5"/>
      <c r="D119" s="1"/>
      <c r="E119" s="5"/>
      <c r="G119" s="6"/>
      <c r="H119" s="1"/>
    </row>
    <row r="120" spans="2:8" x14ac:dyDescent="0.35">
      <c r="B120" s="5"/>
      <c r="C120" s="5"/>
      <c r="D120" s="1"/>
      <c r="E120" s="5"/>
      <c r="G120" s="6"/>
      <c r="H120" s="1"/>
    </row>
    <row r="121" spans="2:8" x14ac:dyDescent="0.35">
      <c r="B121" s="5"/>
      <c r="C121" s="5"/>
      <c r="D121" s="1"/>
      <c r="E121" s="5"/>
      <c r="G121" s="6"/>
      <c r="H121" s="1"/>
    </row>
    <row r="122" spans="2:8" x14ac:dyDescent="0.35">
      <c r="B122" s="5"/>
      <c r="C122" s="5"/>
      <c r="D122" s="1"/>
      <c r="E122" s="5"/>
      <c r="G122" s="6"/>
      <c r="H122" s="1"/>
    </row>
    <row r="123" spans="2:8" x14ac:dyDescent="0.35">
      <c r="B123" s="5"/>
      <c r="C123" s="5"/>
      <c r="D123" s="1"/>
      <c r="E123" s="5"/>
      <c r="G123" s="6"/>
      <c r="H123" s="1"/>
    </row>
    <row r="124" spans="2:8" x14ac:dyDescent="0.35">
      <c r="B124" s="5"/>
      <c r="C124" s="5"/>
      <c r="D124" s="1"/>
      <c r="E124" s="5"/>
      <c r="G124" s="6"/>
      <c r="H124" s="1"/>
    </row>
    <row r="125" spans="2:8" x14ac:dyDescent="0.35">
      <c r="B125" s="5"/>
      <c r="C125" s="5"/>
      <c r="D125" s="1"/>
      <c r="E125" s="5"/>
      <c r="G125" s="6"/>
      <c r="H125" s="1"/>
    </row>
    <row r="126" spans="2:8" x14ac:dyDescent="0.35">
      <c r="B126" s="5"/>
      <c r="C126" s="5"/>
      <c r="D126" s="1"/>
      <c r="E126" s="5"/>
      <c r="G126" s="6"/>
      <c r="H126" s="1"/>
    </row>
    <row r="127" spans="2:8" x14ac:dyDescent="0.35">
      <c r="B127" s="5"/>
      <c r="C127" s="5"/>
      <c r="D127" s="1"/>
      <c r="E127" s="5"/>
      <c r="G127" s="6"/>
      <c r="H127" s="1"/>
    </row>
    <row r="128" spans="2:8" x14ac:dyDescent="0.35">
      <c r="B128" s="5"/>
      <c r="C128" s="5"/>
      <c r="D128" s="1"/>
      <c r="E128" s="5"/>
      <c r="G128" s="6"/>
      <c r="H128" s="1"/>
    </row>
    <row r="129" spans="2:8" x14ac:dyDescent="0.35">
      <c r="B129" s="5"/>
      <c r="C129" s="5"/>
      <c r="D129" s="1"/>
      <c r="E129" s="5"/>
      <c r="G129" s="6"/>
      <c r="H129" s="1"/>
    </row>
    <row r="130" spans="2:8" x14ac:dyDescent="0.35">
      <c r="B130" s="5"/>
      <c r="C130" s="5"/>
      <c r="D130" s="1"/>
      <c r="E130" s="5"/>
      <c r="G130" s="6"/>
      <c r="H130" s="1"/>
    </row>
    <row r="131" spans="2:8" x14ac:dyDescent="0.35">
      <c r="B131" s="5"/>
      <c r="C131" s="5"/>
      <c r="D131" s="1"/>
      <c r="E131" s="5"/>
      <c r="G131" s="6"/>
      <c r="H131" s="1"/>
    </row>
    <row r="132" spans="2:8" x14ac:dyDescent="0.35">
      <c r="B132" s="5"/>
      <c r="C132" s="5"/>
      <c r="D132" s="1"/>
      <c r="E132" s="5"/>
      <c r="G132" s="6"/>
      <c r="H132" s="1"/>
    </row>
    <row r="133" spans="2:8" x14ac:dyDescent="0.35">
      <c r="B133" s="5"/>
      <c r="C133" s="5"/>
      <c r="D133" s="1"/>
      <c r="E133" s="5"/>
      <c r="G133" s="6"/>
      <c r="H133" s="1"/>
    </row>
    <row r="134" spans="2:8" x14ac:dyDescent="0.35">
      <c r="B134" s="5"/>
      <c r="C134" s="5"/>
      <c r="D134" s="1"/>
      <c r="E134" s="5"/>
      <c r="G134" s="6"/>
      <c r="H134" s="1"/>
    </row>
    <row r="135" spans="2:8" x14ac:dyDescent="0.35">
      <c r="B135" s="5"/>
      <c r="C135" s="5"/>
      <c r="D135" s="1"/>
      <c r="E135" s="5"/>
      <c r="G135" s="6"/>
      <c r="H135" s="1"/>
    </row>
    <row r="136" spans="2:8" x14ac:dyDescent="0.35">
      <c r="B136" s="5"/>
      <c r="C136" s="5"/>
      <c r="D136" s="1"/>
      <c r="E136" s="5"/>
      <c r="G136" s="6"/>
      <c r="H136" s="1"/>
    </row>
    <row r="137" spans="2:8" x14ac:dyDescent="0.35">
      <c r="B137" s="5"/>
      <c r="C137" s="5"/>
      <c r="D137" s="1"/>
      <c r="E137" s="5"/>
      <c r="G137" s="6"/>
      <c r="H137" s="1"/>
    </row>
    <row r="138" spans="2:8" x14ac:dyDescent="0.35">
      <c r="B138" s="5"/>
      <c r="C138" s="5"/>
      <c r="D138" s="1"/>
      <c r="E138" s="5"/>
      <c r="G138" s="6"/>
      <c r="H138" s="1"/>
    </row>
    <row r="139" spans="2:8" x14ac:dyDescent="0.35">
      <c r="B139" s="5"/>
      <c r="C139" s="5"/>
      <c r="D139" s="1"/>
      <c r="E139" s="5"/>
      <c r="G139" s="6"/>
      <c r="H139" s="1"/>
    </row>
    <row r="140" spans="2:8" x14ac:dyDescent="0.35">
      <c r="B140" s="5"/>
      <c r="C140" s="5"/>
      <c r="D140" s="1"/>
      <c r="E140" s="5"/>
      <c r="G140" s="6"/>
      <c r="H140" s="1"/>
    </row>
    <row r="141" spans="2:8" x14ac:dyDescent="0.35">
      <c r="B141" s="5"/>
      <c r="C141" s="5"/>
      <c r="D141" s="1"/>
      <c r="E141" s="5"/>
      <c r="G141" s="6"/>
      <c r="H141" s="1"/>
    </row>
    <row r="142" spans="2:8" x14ac:dyDescent="0.35">
      <c r="B142" s="5"/>
      <c r="C142" s="5"/>
      <c r="D142" s="1"/>
      <c r="E142" s="5"/>
      <c r="G142" s="6"/>
      <c r="H142" s="1"/>
    </row>
    <row r="143" spans="2:8" x14ac:dyDescent="0.35">
      <c r="B143" s="5"/>
      <c r="C143" s="5"/>
      <c r="D143" s="1"/>
      <c r="E143" s="5"/>
      <c r="G143" s="6"/>
      <c r="H143" s="1"/>
    </row>
    <row r="144" spans="2:8" x14ac:dyDescent="0.35">
      <c r="B144" s="5"/>
      <c r="C144" s="5"/>
      <c r="D144" s="1"/>
      <c r="E144" s="5"/>
      <c r="G144" s="6"/>
      <c r="H144" s="1"/>
    </row>
    <row r="145" spans="2:8" x14ac:dyDescent="0.35">
      <c r="B145" s="5"/>
      <c r="C145" s="5"/>
      <c r="D145" s="1"/>
      <c r="E145" s="5"/>
      <c r="G145" s="6"/>
      <c r="H145" s="1"/>
    </row>
    <row r="146" spans="2:8" x14ac:dyDescent="0.35">
      <c r="B146" s="5"/>
      <c r="C146" s="5"/>
      <c r="D146" s="1"/>
      <c r="E146" s="5"/>
      <c r="G146" s="6"/>
      <c r="H146" s="1"/>
    </row>
    <row r="147" spans="2:8" x14ac:dyDescent="0.35">
      <c r="B147" s="5"/>
      <c r="C147" s="5"/>
      <c r="D147" s="1"/>
      <c r="E147" s="5"/>
      <c r="G147" s="6"/>
      <c r="H147" s="1"/>
    </row>
    <row r="148" spans="2:8" x14ac:dyDescent="0.35">
      <c r="B148" s="5"/>
      <c r="C148" s="5"/>
      <c r="D148" s="1"/>
      <c r="E148" s="5"/>
      <c r="G148" s="6"/>
      <c r="H148" s="1"/>
    </row>
    <row r="149" spans="2:8" x14ac:dyDescent="0.35">
      <c r="B149" s="5"/>
      <c r="C149" s="5"/>
      <c r="D149" s="1"/>
      <c r="E149" s="5"/>
      <c r="G149" s="6"/>
      <c r="H149" s="1"/>
    </row>
    <row r="150" spans="2:8" x14ac:dyDescent="0.35">
      <c r="B150" s="5"/>
      <c r="C150" s="5"/>
      <c r="D150" s="1"/>
      <c r="E150" s="5"/>
      <c r="G150" s="6"/>
      <c r="H150" s="1"/>
    </row>
    <row r="151" spans="2:8" x14ac:dyDescent="0.35">
      <c r="B151" s="5"/>
      <c r="C151" s="5"/>
      <c r="D151" s="1"/>
      <c r="E151" s="5"/>
      <c r="G151" s="6"/>
      <c r="H151" s="1"/>
    </row>
    <row r="152" spans="2:8" x14ac:dyDescent="0.35">
      <c r="B152" s="5"/>
      <c r="C152" s="5"/>
      <c r="D152" s="1"/>
      <c r="E152" s="5"/>
      <c r="G152" s="6"/>
      <c r="H152" s="1"/>
    </row>
    <row r="153" spans="2:8" x14ac:dyDescent="0.35">
      <c r="B153" s="5"/>
      <c r="C153" s="5"/>
      <c r="D153" s="1"/>
      <c r="E153" s="5"/>
      <c r="G153" s="6"/>
      <c r="H153" s="1"/>
    </row>
    <row r="154" spans="2:8" x14ac:dyDescent="0.35">
      <c r="B154" s="5"/>
      <c r="C154" s="5"/>
      <c r="D154" s="1"/>
      <c r="E154" s="5"/>
      <c r="G154" s="6"/>
      <c r="H154" s="1"/>
    </row>
    <row r="155" spans="2:8" x14ac:dyDescent="0.35">
      <c r="B155" s="5"/>
      <c r="C155" s="5"/>
      <c r="D155" s="1"/>
      <c r="E155" s="5"/>
      <c r="G155" s="6"/>
      <c r="H155" s="1"/>
    </row>
    <row r="156" spans="2:8" x14ac:dyDescent="0.35">
      <c r="B156" s="5"/>
      <c r="C156" s="5"/>
      <c r="D156" s="1"/>
      <c r="E156" s="5"/>
      <c r="G156" s="6"/>
      <c r="H156" s="1"/>
    </row>
    <row r="157" spans="2:8" x14ac:dyDescent="0.35">
      <c r="B157" s="5"/>
      <c r="C157" s="5"/>
      <c r="D157" s="1"/>
      <c r="E157" s="5"/>
      <c r="G157" s="6"/>
      <c r="H157" s="1"/>
    </row>
    <row r="158" spans="2:8" x14ac:dyDescent="0.35">
      <c r="B158" s="5"/>
      <c r="C158" s="5"/>
      <c r="D158" s="1"/>
      <c r="E158" s="5"/>
      <c r="G158" s="6"/>
      <c r="H158" s="1"/>
    </row>
    <row r="159" spans="2:8" x14ac:dyDescent="0.35">
      <c r="B159" s="5"/>
      <c r="C159" s="5"/>
      <c r="D159" s="1"/>
      <c r="E159" s="5"/>
      <c r="G159" s="6"/>
      <c r="H159" s="1"/>
    </row>
    <row r="160" spans="2:8" x14ac:dyDescent="0.35">
      <c r="B160" s="5"/>
      <c r="C160" s="5"/>
      <c r="D160" s="1"/>
      <c r="E160" s="5"/>
      <c r="G160" s="6"/>
      <c r="H160" s="1"/>
    </row>
    <row r="161" spans="2:8" x14ac:dyDescent="0.35">
      <c r="B161" s="5"/>
      <c r="C161" s="5"/>
      <c r="D161" s="1"/>
      <c r="E161" s="5"/>
      <c r="G161" s="6"/>
      <c r="H161" s="1"/>
    </row>
    <row r="162" spans="2:8" x14ac:dyDescent="0.35">
      <c r="B162" s="5"/>
      <c r="C162" s="5"/>
      <c r="D162" s="1"/>
      <c r="E162" s="5"/>
      <c r="G162" s="6"/>
      <c r="H162" s="1"/>
    </row>
    <row r="163" spans="2:8" x14ac:dyDescent="0.35">
      <c r="B163" s="5"/>
      <c r="C163" s="5"/>
      <c r="D163" s="1"/>
      <c r="E163" s="5"/>
      <c r="G163" s="6"/>
      <c r="H163" s="1"/>
    </row>
    <row r="164" spans="2:8" x14ac:dyDescent="0.35">
      <c r="B164" s="5"/>
      <c r="C164" s="5"/>
      <c r="D164" s="1"/>
      <c r="E164" s="5"/>
      <c r="G164" s="6"/>
      <c r="H164" s="1"/>
    </row>
    <row r="165" spans="2:8" x14ac:dyDescent="0.35">
      <c r="B165" s="5"/>
      <c r="C165" s="5"/>
      <c r="D165" s="1"/>
      <c r="E165" s="5"/>
      <c r="G165" s="6"/>
      <c r="H165" s="1"/>
    </row>
    <row r="166" spans="2:8" x14ac:dyDescent="0.35">
      <c r="B166" s="5"/>
      <c r="C166" s="5"/>
      <c r="D166" s="1"/>
      <c r="E166" s="5"/>
      <c r="G166" s="6"/>
      <c r="H166" s="1"/>
    </row>
    <row r="167" spans="2:8" x14ac:dyDescent="0.35">
      <c r="B167" s="5"/>
      <c r="C167" s="5"/>
      <c r="D167" s="1"/>
      <c r="E167" s="5"/>
      <c r="G167" s="6"/>
      <c r="H167" s="1"/>
    </row>
    <row r="168" spans="2:8" x14ac:dyDescent="0.35">
      <c r="B168" s="5"/>
      <c r="C168" s="5"/>
      <c r="D168" s="1"/>
      <c r="E168" s="5"/>
      <c r="G168" s="6"/>
      <c r="H168" s="1"/>
    </row>
    <row r="169" spans="2:8" x14ac:dyDescent="0.35">
      <c r="B169" s="5"/>
      <c r="C169" s="5"/>
      <c r="D169" s="1"/>
      <c r="E169" s="5"/>
      <c r="G169" s="6"/>
      <c r="H169" s="1"/>
    </row>
    <row r="170" spans="2:8" x14ac:dyDescent="0.35">
      <c r="B170" s="5"/>
      <c r="C170" s="5"/>
      <c r="D170" s="1"/>
      <c r="E170" s="5"/>
      <c r="G170" s="6"/>
      <c r="H170" s="1"/>
    </row>
    <row r="171" spans="2:8" x14ac:dyDescent="0.35">
      <c r="B171" s="5"/>
      <c r="C171" s="5"/>
      <c r="D171" s="1"/>
      <c r="E171" s="5"/>
      <c r="G171" s="6"/>
      <c r="H171" s="1"/>
    </row>
    <row r="172" spans="2:8" x14ac:dyDescent="0.35">
      <c r="B172" s="5"/>
      <c r="C172" s="5"/>
      <c r="D172" s="1"/>
      <c r="E172" s="5"/>
      <c r="G172" s="6"/>
      <c r="H172" s="1"/>
    </row>
    <row r="173" spans="2:8" x14ac:dyDescent="0.35">
      <c r="B173" s="5"/>
      <c r="C173" s="5"/>
      <c r="D173" s="1"/>
      <c r="E173" s="5"/>
      <c r="G173" s="6"/>
      <c r="H173" s="1"/>
    </row>
    <row r="174" spans="2:8" x14ac:dyDescent="0.35">
      <c r="B174" s="5"/>
      <c r="C174" s="5"/>
      <c r="D174" s="1"/>
      <c r="E174" s="5"/>
      <c r="G174" s="6"/>
      <c r="H174" s="1"/>
    </row>
    <row r="175" spans="2:8" x14ac:dyDescent="0.35">
      <c r="B175" s="5"/>
      <c r="C175" s="5"/>
      <c r="D175" s="1"/>
      <c r="E175" s="5"/>
      <c r="G175" s="6"/>
      <c r="H175" s="1"/>
    </row>
    <row r="176" spans="2:8" x14ac:dyDescent="0.35">
      <c r="B176" s="5"/>
      <c r="C176" s="5"/>
      <c r="D176" s="1"/>
      <c r="E176" s="5"/>
      <c r="G176" s="6"/>
      <c r="H176" s="1"/>
    </row>
    <row r="177" spans="2:8" x14ac:dyDescent="0.35">
      <c r="B177" s="5"/>
      <c r="C177" s="5"/>
      <c r="D177" s="1"/>
      <c r="E177" s="5"/>
      <c r="G177" s="6"/>
      <c r="H177" s="1"/>
    </row>
    <row r="178" spans="2:8" x14ac:dyDescent="0.35">
      <c r="B178" s="5"/>
      <c r="C178" s="5"/>
      <c r="D178" s="1"/>
      <c r="E178" s="5"/>
      <c r="G178" s="6"/>
      <c r="H178" s="1"/>
    </row>
    <row r="179" spans="2:8" x14ac:dyDescent="0.35">
      <c r="B179" s="5"/>
      <c r="C179" s="5"/>
      <c r="D179" s="1"/>
      <c r="E179" s="5"/>
      <c r="G179" s="6"/>
      <c r="H179" s="1"/>
    </row>
    <row r="180" spans="2:8" x14ac:dyDescent="0.35">
      <c r="B180" s="5"/>
      <c r="C180" s="5"/>
      <c r="D180" s="1"/>
      <c r="E180" s="5"/>
      <c r="G180" s="6"/>
      <c r="H180" s="1"/>
    </row>
    <row r="181" spans="2:8" x14ac:dyDescent="0.35">
      <c r="B181" s="5"/>
      <c r="C181" s="5"/>
      <c r="D181" s="1"/>
      <c r="E181" s="5"/>
      <c r="G181" s="6"/>
      <c r="H181" s="1"/>
    </row>
    <row r="182" spans="2:8" x14ac:dyDescent="0.35">
      <c r="B182" s="5"/>
      <c r="C182" s="5"/>
      <c r="D182" s="1"/>
      <c r="E182" s="5"/>
      <c r="G182" s="6"/>
      <c r="H182" s="1"/>
    </row>
    <row r="183" spans="2:8" x14ac:dyDescent="0.35">
      <c r="B183" s="5"/>
      <c r="C183" s="5"/>
      <c r="D183" s="1"/>
      <c r="E183" s="5"/>
      <c r="G183" s="6"/>
      <c r="H183" s="1"/>
    </row>
    <row r="184" spans="2:8" x14ac:dyDescent="0.35">
      <c r="B184" s="5"/>
      <c r="C184" s="5"/>
      <c r="D184" s="1"/>
      <c r="E184" s="5"/>
      <c r="G184" s="6"/>
      <c r="H184" s="1"/>
    </row>
    <row r="185" spans="2:8" x14ac:dyDescent="0.35">
      <c r="B185" s="5"/>
      <c r="C185" s="5"/>
      <c r="D185" s="1"/>
      <c r="E185" s="5"/>
      <c r="G185" s="6"/>
      <c r="H185" s="1"/>
    </row>
    <row r="186" spans="2:8" x14ac:dyDescent="0.35">
      <c r="B186" s="5"/>
      <c r="C186" s="5"/>
      <c r="D186" s="1"/>
      <c r="E186" s="5"/>
      <c r="G186" s="6"/>
      <c r="H186" s="1"/>
    </row>
    <row r="187" spans="2:8" x14ac:dyDescent="0.35">
      <c r="B187" s="5"/>
      <c r="C187" s="5"/>
      <c r="D187" s="1"/>
      <c r="E187" s="5"/>
      <c r="G187" s="6"/>
      <c r="H187" s="1"/>
    </row>
    <row r="188" spans="2:8" x14ac:dyDescent="0.35">
      <c r="B188" s="5"/>
      <c r="C188" s="5"/>
      <c r="D188" s="1"/>
      <c r="E188" s="5"/>
      <c r="G188" s="6"/>
      <c r="H188" s="1"/>
    </row>
    <row r="189" spans="2:8" x14ac:dyDescent="0.35">
      <c r="B189" s="5"/>
      <c r="C189" s="5"/>
      <c r="D189" s="1"/>
      <c r="E189" s="5"/>
      <c r="G189" s="6"/>
      <c r="H189" s="1"/>
    </row>
    <row r="190" spans="2:8" x14ac:dyDescent="0.35">
      <c r="B190" s="5"/>
      <c r="C190" s="5"/>
      <c r="D190" s="1"/>
      <c r="E190" s="5"/>
      <c r="G190" s="6"/>
      <c r="H190" s="1"/>
    </row>
    <row r="191" spans="2:8" x14ac:dyDescent="0.35">
      <c r="B191" s="5"/>
      <c r="C191" s="5"/>
      <c r="D191" s="1"/>
      <c r="E191" s="5"/>
      <c r="G191" s="6"/>
      <c r="H191" s="1"/>
    </row>
    <row r="192" spans="2:8" x14ac:dyDescent="0.35">
      <c r="B192" s="5"/>
      <c r="C192" s="5"/>
      <c r="D192" s="1"/>
      <c r="E192" s="5"/>
      <c r="G192" s="6"/>
      <c r="H192" s="1"/>
    </row>
    <row r="193" spans="2:8" x14ac:dyDescent="0.35">
      <c r="B193" s="5"/>
      <c r="C193" s="5"/>
      <c r="D193" s="1"/>
      <c r="E193" s="5"/>
      <c r="G193" s="6"/>
      <c r="H193" s="1"/>
    </row>
    <row r="194" spans="2:8" x14ac:dyDescent="0.35">
      <c r="B194" s="5"/>
      <c r="C194" s="5"/>
      <c r="D194" s="1"/>
      <c r="E194" s="5"/>
      <c r="G194" s="6"/>
      <c r="H194" s="1"/>
    </row>
    <row r="195" spans="2:8" x14ac:dyDescent="0.35">
      <c r="B195" s="5"/>
      <c r="C195" s="5"/>
      <c r="D195" s="1"/>
      <c r="E195" s="5"/>
      <c r="G195" s="6"/>
      <c r="H195" s="1"/>
    </row>
    <row r="196" spans="2:8" x14ac:dyDescent="0.35">
      <c r="B196" s="5"/>
      <c r="C196" s="5"/>
      <c r="D196" s="1"/>
      <c r="E196" s="5"/>
      <c r="G196" s="6"/>
      <c r="H196" s="1"/>
    </row>
    <row r="197" spans="2:8" x14ac:dyDescent="0.35">
      <c r="B197" s="5"/>
      <c r="C197" s="5"/>
      <c r="D197" s="1"/>
      <c r="E197" s="5"/>
      <c r="G197" s="6"/>
      <c r="H197" s="1"/>
    </row>
    <row r="198" spans="2:8" x14ac:dyDescent="0.35">
      <c r="B198" s="5"/>
      <c r="C198" s="5"/>
      <c r="D198" s="1"/>
      <c r="E198" s="5"/>
      <c r="G198" s="6"/>
      <c r="H198" s="1"/>
    </row>
    <row r="199" spans="2:8" x14ac:dyDescent="0.35">
      <c r="B199" s="5"/>
      <c r="C199" s="5"/>
      <c r="D199" s="1"/>
      <c r="E199" s="5"/>
      <c r="G199" s="6"/>
      <c r="H199" s="1"/>
    </row>
    <row r="200" spans="2:8" x14ac:dyDescent="0.35">
      <c r="B200" s="5"/>
      <c r="C200" s="5"/>
      <c r="D200" s="1"/>
      <c r="E200" s="5"/>
      <c r="G200" s="6"/>
      <c r="H200" s="1"/>
    </row>
    <row r="201" spans="2:8" x14ac:dyDescent="0.35">
      <c r="B201" s="5"/>
      <c r="C201" s="5"/>
      <c r="D201" s="1"/>
      <c r="E201" s="5"/>
      <c r="G201" s="6"/>
      <c r="H201" s="1"/>
    </row>
    <row r="202" spans="2:8" x14ac:dyDescent="0.35">
      <c r="B202" s="5"/>
      <c r="C202" s="5"/>
      <c r="D202" s="1"/>
      <c r="E202" s="5"/>
      <c r="G202" s="6"/>
      <c r="H202" s="1"/>
    </row>
    <row r="203" spans="2:8" x14ac:dyDescent="0.35">
      <c r="B203" s="5"/>
      <c r="C203" s="5"/>
      <c r="D203" s="1"/>
      <c r="E203" s="5"/>
      <c r="G203" s="6"/>
      <c r="H203" s="1"/>
    </row>
    <row r="204" spans="2:8" x14ac:dyDescent="0.35">
      <c r="B204" s="5"/>
      <c r="C204" s="5"/>
      <c r="D204" s="1"/>
      <c r="E204" s="5"/>
      <c r="G204" s="6"/>
      <c r="H204" s="1"/>
    </row>
    <row r="205" spans="2:8" x14ac:dyDescent="0.35">
      <c r="B205" s="5"/>
      <c r="C205" s="5"/>
      <c r="D205" s="1"/>
      <c r="E205" s="5"/>
      <c r="G205" s="6"/>
      <c r="H205" s="1"/>
    </row>
    <row r="206" spans="2:8" x14ac:dyDescent="0.35">
      <c r="B206" s="5"/>
      <c r="C206" s="5"/>
      <c r="D206" s="1"/>
      <c r="E206" s="5"/>
      <c r="G206" s="6"/>
      <c r="H206" s="1"/>
    </row>
    <row r="207" spans="2:8" x14ac:dyDescent="0.35">
      <c r="B207" s="5"/>
      <c r="C207" s="5"/>
      <c r="D207" s="1"/>
      <c r="E207" s="5"/>
      <c r="G207" s="6"/>
      <c r="H207" s="1"/>
    </row>
    <row r="208" spans="2:8" x14ac:dyDescent="0.35">
      <c r="B208" s="5"/>
      <c r="C208" s="5"/>
      <c r="D208" s="1"/>
      <c r="E208" s="5"/>
      <c r="G208" s="6"/>
      <c r="H208" s="1"/>
    </row>
    <row r="209" spans="2:8" x14ac:dyDescent="0.35">
      <c r="B209" s="5"/>
      <c r="C209" s="5"/>
      <c r="D209" s="1"/>
      <c r="E209" s="5"/>
      <c r="G209" s="6"/>
      <c r="H209" s="1"/>
    </row>
    <row r="210" spans="2:8" x14ac:dyDescent="0.35">
      <c r="B210" s="5"/>
      <c r="C210" s="5"/>
      <c r="D210" s="1"/>
      <c r="E210" s="5"/>
      <c r="G210" s="6"/>
      <c r="H210" s="1"/>
    </row>
    <row r="211" spans="2:8" x14ac:dyDescent="0.35">
      <c r="B211" s="5"/>
      <c r="C211" s="5"/>
      <c r="D211" s="1"/>
      <c r="E211" s="5"/>
      <c r="G211" s="6"/>
      <c r="H211" s="1"/>
    </row>
    <row r="212" spans="2:8" x14ac:dyDescent="0.35">
      <c r="B212" s="5"/>
      <c r="C212" s="5"/>
      <c r="D212" s="1"/>
      <c r="E212" s="5"/>
      <c r="G212" s="6"/>
      <c r="H212" s="1"/>
    </row>
    <row r="213" spans="2:8" x14ac:dyDescent="0.35">
      <c r="B213" s="5"/>
      <c r="C213" s="5"/>
      <c r="D213" s="1"/>
      <c r="E213" s="5"/>
      <c r="G213" s="6"/>
      <c r="H213" s="1"/>
    </row>
    <row r="214" spans="2:8" x14ac:dyDescent="0.35">
      <c r="B214" s="5"/>
      <c r="C214" s="5"/>
      <c r="D214" s="1"/>
      <c r="E214" s="5"/>
      <c r="G214" s="6"/>
      <c r="H214" s="1"/>
    </row>
    <row r="215" spans="2:8" x14ac:dyDescent="0.35">
      <c r="B215" s="5"/>
      <c r="C215" s="5"/>
      <c r="D215" s="1"/>
      <c r="E215" s="5"/>
      <c r="G215" s="6"/>
      <c r="H215" s="1"/>
    </row>
    <row r="216" spans="2:8" x14ac:dyDescent="0.35">
      <c r="B216" s="5"/>
      <c r="C216" s="5"/>
      <c r="D216" s="1"/>
      <c r="E216" s="5"/>
      <c r="G216" s="6"/>
      <c r="H216" s="1"/>
    </row>
    <row r="217" spans="2:8" x14ac:dyDescent="0.35">
      <c r="B217" s="5"/>
      <c r="C217" s="5"/>
      <c r="D217" s="1"/>
      <c r="E217" s="5"/>
      <c r="G217" s="6"/>
      <c r="H217" s="1"/>
    </row>
    <row r="218" spans="2:8" x14ac:dyDescent="0.35">
      <c r="B218" s="5"/>
      <c r="C218" s="5"/>
      <c r="D218" s="1"/>
      <c r="E218" s="5"/>
      <c r="G218" s="6"/>
      <c r="H218" s="1"/>
    </row>
    <row r="219" spans="2:8" x14ac:dyDescent="0.35">
      <c r="B219" s="5"/>
      <c r="C219" s="5"/>
      <c r="D219" s="1"/>
      <c r="E219" s="5"/>
      <c r="G219" s="6"/>
      <c r="H219" s="1"/>
    </row>
    <row r="220" spans="2:8" x14ac:dyDescent="0.35">
      <c r="B220" s="5"/>
      <c r="C220" s="5"/>
      <c r="D220" s="1"/>
      <c r="E220" s="5"/>
      <c r="G220" s="6"/>
      <c r="H220" s="1"/>
    </row>
    <row r="221" spans="2:8" x14ac:dyDescent="0.35">
      <c r="B221" s="5"/>
      <c r="C221" s="5"/>
      <c r="D221" s="1"/>
      <c r="E221" s="5"/>
      <c r="G221" s="6"/>
      <c r="H221" s="1"/>
    </row>
    <row r="222" spans="2:8" x14ac:dyDescent="0.35">
      <c r="B222" s="5"/>
      <c r="C222" s="5"/>
      <c r="D222" s="1"/>
      <c r="E222" s="5"/>
      <c r="G222" s="6"/>
      <c r="H222" s="1"/>
    </row>
    <row r="223" spans="2:8" x14ac:dyDescent="0.35">
      <c r="B223" s="5"/>
      <c r="C223" s="5"/>
      <c r="D223" s="1"/>
      <c r="E223" s="5"/>
      <c r="G223" s="6"/>
      <c r="H223" s="1"/>
    </row>
    <row r="224" spans="2:8" x14ac:dyDescent="0.35">
      <c r="B224" s="5"/>
      <c r="C224" s="5"/>
      <c r="D224" s="1"/>
      <c r="E224" s="5"/>
      <c r="G224" s="6"/>
      <c r="H224" s="1"/>
    </row>
    <row r="225" spans="2:8" x14ac:dyDescent="0.35">
      <c r="B225" s="5"/>
      <c r="C225" s="5"/>
      <c r="D225" s="1"/>
      <c r="E225" s="5"/>
      <c r="G225" s="6"/>
      <c r="H225" s="1"/>
    </row>
    <row r="226" spans="2:8" x14ac:dyDescent="0.35">
      <c r="B226" s="5"/>
      <c r="C226" s="5"/>
      <c r="D226" s="1"/>
      <c r="E226" s="5"/>
      <c r="G226" s="6"/>
      <c r="H226" s="1"/>
    </row>
    <row r="227" spans="2:8" x14ac:dyDescent="0.35">
      <c r="B227" s="5"/>
      <c r="C227" s="5"/>
      <c r="D227" s="1"/>
      <c r="E227" s="5"/>
      <c r="G227" s="6"/>
      <c r="H227" s="1"/>
    </row>
    <row r="228" spans="2:8" x14ac:dyDescent="0.35">
      <c r="B228" s="5"/>
      <c r="C228" s="5"/>
      <c r="D228" s="1"/>
      <c r="E228" s="5"/>
      <c r="G228" s="6"/>
      <c r="H228" s="1"/>
    </row>
    <row r="229" spans="2:8" x14ac:dyDescent="0.35">
      <c r="B229" s="5"/>
      <c r="C229" s="5"/>
      <c r="D229" s="1"/>
      <c r="E229" s="5"/>
      <c r="G229" s="6"/>
      <c r="H229" s="1"/>
    </row>
    <row r="230" spans="2:8" x14ac:dyDescent="0.35">
      <c r="B230" s="5"/>
      <c r="C230" s="5"/>
      <c r="D230" s="1"/>
      <c r="E230" s="5"/>
      <c r="G230" s="6"/>
      <c r="H230" s="1"/>
    </row>
    <row r="231" spans="2:8" x14ac:dyDescent="0.35">
      <c r="B231" s="5"/>
      <c r="C231" s="5"/>
      <c r="D231" s="1"/>
      <c r="E231" s="5"/>
      <c r="G231" s="6"/>
      <c r="H231" s="1"/>
    </row>
    <row r="232" spans="2:8" x14ac:dyDescent="0.35">
      <c r="B232" s="5"/>
      <c r="C232" s="5"/>
      <c r="D232" s="1"/>
      <c r="E232" s="5"/>
      <c r="G232" s="6"/>
      <c r="H232" s="1"/>
    </row>
    <row r="233" spans="2:8" x14ac:dyDescent="0.35">
      <c r="B233" s="5"/>
      <c r="C233" s="5"/>
      <c r="D233" s="1"/>
      <c r="E233" s="5"/>
      <c r="G233" s="6"/>
      <c r="H233" s="1"/>
    </row>
    <row r="234" spans="2:8" x14ac:dyDescent="0.35">
      <c r="B234" s="5"/>
      <c r="C234" s="5"/>
      <c r="D234" s="1"/>
      <c r="E234" s="5"/>
      <c r="G234" s="6"/>
      <c r="H234" s="1"/>
    </row>
    <row r="235" spans="2:8" x14ac:dyDescent="0.35">
      <c r="B235" s="5"/>
      <c r="C235" s="5"/>
      <c r="D235" s="1"/>
      <c r="E235" s="5"/>
      <c r="G235" s="6"/>
      <c r="H235" s="1"/>
    </row>
    <row r="236" spans="2:8" x14ac:dyDescent="0.35">
      <c r="B236" s="5"/>
      <c r="C236" s="5"/>
      <c r="D236" s="1"/>
      <c r="E236" s="5"/>
      <c r="G236" s="6"/>
      <c r="H236" s="1"/>
    </row>
    <row r="237" spans="2:8" x14ac:dyDescent="0.35">
      <c r="B237" s="5"/>
      <c r="C237" s="5"/>
      <c r="D237" s="1"/>
      <c r="E237" s="5"/>
      <c r="G237" s="6"/>
      <c r="H237" s="1"/>
    </row>
    <row r="238" spans="2:8" x14ac:dyDescent="0.35">
      <c r="B238" s="5"/>
      <c r="C238" s="5"/>
      <c r="D238" s="1"/>
      <c r="E238" s="5"/>
      <c r="G238" s="6"/>
      <c r="H238" s="1"/>
    </row>
    <row r="239" spans="2:8" x14ac:dyDescent="0.35">
      <c r="B239" s="5"/>
      <c r="C239" s="5"/>
      <c r="D239" s="1"/>
      <c r="E239" s="5"/>
      <c r="G239" s="6"/>
      <c r="H239" s="1"/>
    </row>
    <row r="240" spans="2:8" x14ac:dyDescent="0.35">
      <c r="B240" s="5"/>
      <c r="C240" s="5"/>
      <c r="D240" s="1"/>
      <c r="E240" s="5"/>
      <c r="G240" s="6"/>
      <c r="H240" s="1"/>
    </row>
    <row r="241" spans="2:8" x14ac:dyDescent="0.35">
      <c r="B241" s="5"/>
      <c r="C241" s="5"/>
      <c r="D241" s="1"/>
      <c r="E241" s="5"/>
      <c r="G241" s="6"/>
      <c r="H241" s="1"/>
    </row>
    <row r="242" spans="2:8" x14ac:dyDescent="0.35">
      <c r="B242" s="5"/>
      <c r="C242" s="5"/>
      <c r="D242" s="1"/>
      <c r="E242" s="5"/>
      <c r="G242" s="6"/>
      <c r="H242" s="1"/>
    </row>
    <row r="243" spans="2:8" x14ac:dyDescent="0.35">
      <c r="B243" s="5"/>
      <c r="C243" s="5"/>
      <c r="D243" s="1"/>
      <c r="E243" s="5"/>
      <c r="G243" s="6"/>
      <c r="H243" s="1"/>
    </row>
    <row r="244" spans="2:8" x14ac:dyDescent="0.35">
      <c r="B244" s="5"/>
      <c r="C244" s="5"/>
      <c r="D244" s="1"/>
      <c r="E244" s="5"/>
      <c r="G244" s="6"/>
      <c r="H244" s="1"/>
    </row>
    <row r="245" spans="2:8" x14ac:dyDescent="0.35">
      <c r="B245" s="5"/>
      <c r="C245" s="5"/>
      <c r="D245" s="1"/>
      <c r="E245" s="5"/>
      <c r="G245" s="6"/>
      <c r="H245" s="1"/>
    </row>
    <row r="246" spans="2:8" x14ac:dyDescent="0.35">
      <c r="B246" s="5"/>
      <c r="C246" s="5"/>
      <c r="D246" s="1"/>
      <c r="E246" s="5"/>
      <c r="G246" s="6"/>
      <c r="H246" s="1"/>
    </row>
    <row r="247" spans="2:8" x14ac:dyDescent="0.35">
      <c r="B247" s="5"/>
      <c r="C247" s="5"/>
      <c r="D247" s="1"/>
      <c r="E247" s="5"/>
      <c r="G247" s="6"/>
      <c r="H247" s="1"/>
    </row>
    <row r="248" spans="2:8" x14ac:dyDescent="0.35">
      <c r="B248" s="5"/>
      <c r="C248" s="5"/>
      <c r="D248" s="1"/>
      <c r="E248" s="5"/>
      <c r="G248" s="6"/>
      <c r="H248" s="1"/>
    </row>
    <row r="249" spans="2:8" x14ac:dyDescent="0.35">
      <c r="B249" s="5"/>
      <c r="C249" s="5"/>
      <c r="D249" s="1"/>
      <c r="E249" s="5"/>
      <c r="G249" s="6"/>
      <c r="H249" s="1"/>
    </row>
    <row r="250" spans="2:8" x14ac:dyDescent="0.35">
      <c r="B250" s="5"/>
      <c r="C250" s="5"/>
      <c r="D250" s="1"/>
      <c r="E250" s="5"/>
      <c r="G250" s="6"/>
      <c r="H250" s="1"/>
    </row>
    <row r="251" spans="2:8" x14ac:dyDescent="0.35">
      <c r="B251" s="5"/>
      <c r="C251" s="5"/>
      <c r="D251" s="1"/>
      <c r="E251" s="5"/>
      <c r="G251" s="6"/>
      <c r="H251" s="1"/>
    </row>
    <row r="252" spans="2:8" x14ac:dyDescent="0.35">
      <c r="B252" s="5"/>
      <c r="C252" s="5"/>
      <c r="D252" s="1"/>
      <c r="E252" s="5"/>
      <c r="G252" s="6"/>
      <c r="H252" s="1"/>
    </row>
    <row r="253" spans="2:8" x14ac:dyDescent="0.35">
      <c r="B253" s="5"/>
      <c r="C253" s="5"/>
      <c r="D253" s="1"/>
      <c r="E253" s="5"/>
      <c r="G253" s="6"/>
      <c r="H253" s="1"/>
    </row>
    <row r="254" spans="2:8" x14ac:dyDescent="0.35">
      <c r="B254" s="5"/>
      <c r="C254" s="5"/>
      <c r="D254" s="1"/>
      <c r="E254" s="5"/>
      <c r="G254" s="6"/>
      <c r="H254" s="1"/>
    </row>
    <row r="255" spans="2:8" x14ac:dyDescent="0.35">
      <c r="B255" s="5"/>
      <c r="C255" s="5"/>
      <c r="D255" s="1"/>
      <c r="E255" s="5"/>
      <c r="G255" s="6"/>
      <c r="H255" s="1"/>
    </row>
    <row r="256" spans="2:8" x14ac:dyDescent="0.35">
      <c r="B256" s="5"/>
      <c r="C256" s="5"/>
      <c r="D256" s="1"/>
      <c r="E256" s="5"/>
      <c r="G256" s="6"/>
      <c r="H256" s="1"/>
    </row>
    <row r="257" spans="2:8" x14ac:dyDescent="0.35">
      <c r="B257" s="5"/>
      <c r="C257" s="5"/>
      <c r="D257" s="1"/>
      <c r="E257" s="5"/>
      <c r="G257" s="6"/>
      <c r="H257" s="1"/>
    </row>
    <row r="258" spans="2:8" x14ac:dyDescent="0.35">
      <c r="B258" s="5"/>
      <c r="C258" s="5"/>
      <c r="D258" s="1"/>
      <c r="E258" s="5"/>
      <c r="G258" s="6"/>
      <c r="H258" s="1"/>
    </row>
    <row r="259" spans="2:8" x14ac:dyDescent="0.35">
      <c r="B259" s="5"/>
      <c r="C259" s="5"/>
      <c r="D259" s="1"/>
      <c r="E259" s="5"/>
      <c r="G259" s="6"/>
      <c r="H259" s="1"/>
    </row>
    <row r="260" spans="2:8" x14ac:dyDescent="0.35">
      <c r="B260" s="5"/>
      <c r="C260" s="5"/>
      <c r="D260" s="1"/>
      <c r="E260" s="5"/>
      <c r="G260" s="6"/>
      <c r="H260" s="1"/>
    </row>
    <row r="261" spans="2:8" x14ac:dyDescent="0.35">
      <c r="B261" s="5"/>
      <c r="C261" s="5"/>
      <c r="D261" s="1"/>
      <c r="E261" s="5"/>
      <c r="G261" s="6"/>
      <c r="H261" s="1"/>
    </row>
    <row r="262" spans="2:8" x14ac:dyDescent="0.35">
      <c r="B262" s="5"/>
      <c r="C262" s="5"/>
      <c r="D262" s="1"/>
      <c r="E262" s="5"/>
      <c r="G262" s="6"/>
      <c r="H262" s="1"/>
    </row>
    <row r="263" spans="2:8" x14ac:dyDescent="0.35">
      <c r="B263" s="5"/>
      <c r="C263" s="5"/>
      <c r="D263" s="1"/>
      <c r="E263" s="5"/>
      <c r="G263" s="6"/>
      <c r="H263" s="1"/>
    </row>
    <row r="264" spans="2:8" x14ac:dyDescent="0.35">
      <c r="B264" s="5"/>
      <c r="C264" s="5"/>
      <c r="D264" s="1"/>
      <c r="E264" s="5"/>
      <c r="G264" s="6"/>
      <c r="H264" s="1"/>
    </row>
    <row r="265" spans="2:8" x14ac:dyDescent="0.35">
      <c r="B265" s="5"/>
      <c r="C265" s="5"/>
      <c r="D265" s="1"/>
      <c r="E265" s="5"/>
      <c r="G265" s="6"/>
      <c r="H265" s="1"/>
    </row>
    <row r="266" spans="2:8" x14ac:dyDescent="0.35">
      <c r="B266" s="5"/>
      <c r="C266" s="5"/>
      <c r="D266" s="1"/>
      <c r="E266" s="5"/>
      <c r="G266" s="6"/>
      <c r="H266" s="1"/>
    </row>
    <row r="267" spans="2:8" x14ac:dyDescent="0.35">
      <c r="B267" s="5"/>
      <c r="C267" s="5"/>
      <c r="D267" s="1"/>
      <c r="E267" s="5"/>
      <c r="G267" s="6"/>
      <c r="H267" s="1"/>
    </row>
    <row r="268" spans="2:8" x14ac:dyDescent="0.35">
      <c r="B268" s="5"/>
      <c r="C268" s="5"/>
      <c r="D268" s="1"/>
      <c r="E268" s="5"/>
      <c r="G268" s="6"/>
      <c r="H268" s="1"/>
    </row>
    <row r="269" spans="2:8" x14ac:dyDescent="0.35">
      <c r="B269" s="5"/>
      <c r="C269" s="5"/>
      <c r="D269" s="1"/>
      <c r="E269" s="5"/>
      <c r="G269" s="6"/>
      <c r="H269" s="1"/>
    </row>
    <row r="270" spans="2:8" x14ac:dyDescent="0.35">
      <c r="B270" s="5"/>
      <c r="C270" s="5"/>
      <c r="D270" s="1"/>
      <c r="E270" s="5"/>
      <c r="G270" s="6"/>
      <c r="H270" s="1"/>
    </row>
    <row r="271" spans="2:8" x14ac:dyDescent="0.35">
      <c r="B271" s="5"/>
      <c r="C271" s="5"/>
      <c r="D271" s="1"/>
      <c r="E271" s="5"/>
      <c r="G271" s="6"/>
      <c r="H271" s="1"/>
    </row>
    <row r="272" spans="2:8" x14ac:dyDescent="0.35">
      <c r="B272" s="5"/>
      <c r="C272" s="5"/>
      <c r="D272" s="1"/>
      <c r="E272" s="5"/>
      <c r="G272" s="6"/>
      <c r="H272" s="1"/>
    </row>
    <row r="273" spans="2:8" x14ac:dyDescent="0.35">
      <c r="B273" s="5"/>
      <c r="C273" s="5"/>
      <c r="D273" s="1"/>
      <c r="E273" s="5"/>
      <c r="G273" s="6"/>
      <c r="H273" s="1"/>
    </row>
    <row r="274" spans="2:8" x14ac:dyDescent="0.35">
      <c r="B274" s="5"/>
      <c r="C274" s="5"/>
      <c r="D274" s="1"/>
      <c r="E274" s="5"/>
      <c r="G274" s="6"/>
      <c r="H274" s="1"/>
    </row>
    <row r="275" spans="2:8" x14ac:dyDescent="0.35">
      <c r="B275" s="5"/>
      <c r="C275" s="5"/>
      <c r="D275" s="1"/>
      <c r="E275" s="5"/>
      <c r="G275" s="6"/>
      <c r="H275" s="1"/>
    </row>
    <row r="276" spans="2:8" x14ac:dyDescent="0.35">
      <c r="B276" s="5"/>
      <c r="C276" s="5"/>
      <c r="D276" s="1"/>
      <c r="E276" s="5"/>
      <c r="G276" s="6"/>
      <c r="H276" s="1"/>
    </row>
    <row r="277" spans="2:8" x14ac:dyDescent="0.35">
      <c r="B277" s="5"/>
      <c r="C277" s="5"/>
      <c r="D277" s="1"/>
      <c r="E277" s="5"/>
      <c r="G277" s="6"/>
      <c r="H277" s="1"/>
    </row>
    <row r="278" spans="2:8" x14ac:dyDescent="0.35">
      <c r="B278" s="5"/>
      <c r="C278" s="5"/>
      <c r="D278" s="1"/>
      <c r="E278" s="5"/>
      <c r="G278" s="6"/>
      <c r="H278" s="1"/>
    </row>
    <row r="279" spans="2:8" x14ac:dyDescent="0.35">
      <c r="B279" s="5"/>
      <c r="C279" s="5"/>
      <c r="D279" s="1"/>
      <c r="E279" s="5"/>
      <c r="G279" s="6"/>
      <c r="H279" s="1"/>
    </row>
    <row r="280" spans="2:8" x14ac:dyDescent="0.35">
      <c r="B280" s="5"/>
      <c r="C280" s="5"/>
      <c r="D280" s="1"/>
      <c r="E280" s="5"/>
      <c r="G280" s="6"/>
      <c r="H280" s="1"/>
    </row>
    <row r="281" spans="2:8" x14ac:dyDescent="0.35">
      <c r="B281" s="5"/>
      <c r="C281" s="5"/>
      <c r="D281" s="1"/>
      <c r="E281" s="5"/>
      <c r="G281" s="6"/>
      <c r="H281" s="1"/>
    </row>
    <row r="282" spans="2:8" x14ac:dyDescent="0.35">
      <c r="B282" s="5"/>
      <c r="C282" s="5"/>
      <c r="D282" s="1"/>
      <c r="E282" s="5"/>
      <c r="G282" s="6"/>
      <c r="H282" s="1"/>
    </row>
    <row r="283" spans="2:8" x14ac:dyDescent="0.35">
      <c r="B283" s="5"/>
      <c r="C283" s="5"/>
      <c r="D283" s="1"/>
      <c r="E283" s="5"/>
      <c r="G283" s="6"/>
      <c r="H283" s="1"/>
    </row>
    <row r="284" spans="2:8" x14ac:dyDescent="0.35">
      <c r="B284" s="5"/>
      <c r="C284" s="5"/>
      <c r="D284" s="1"/>
      <c r="E284" s="5"/>
      <c r="G284" s="6"/>
      <c r="H284" s="1"/>
    </row>
    <row r="285" spans="2:8" x14ac:dyDescent="0.35">
      <c r="B285" s="5"/>
      <c r="C285" s="5"/>
      <c r="D285" s="1"/>
      <c r="E285" s="5"/>
      <c r="G285" s="6"/>
      <c r="H285" s="1"/>
    </row>
    <row r="286" spans="2:8" x14ac:dyDescent="0.35">
      <c r="B286" s="5"/>
      <c r="C286" s="5"/>
      <c r="D286" s="1"/>
      <c r="E286" s="5"/>
      <c r="G286" s="6"/>
      <c r="H286" s="1"/>
    </row>
    <row r="287" spans="2:8" x14ac:dyDescent="0.35">
      <c r="B287" s="5"/>
      <c r="C287" s="5"/>
      <c r="D287" s="1"/>
      <c r="E287" s="5"/>
      <c r="G287" s="6"/>
      <c r="H287" s="1"/>
    </row>
    <row r="288" spans="2:8" x14ac:dyDescent="0.35">
      <c r="B288" s="5"/>
      <c r="C288" s="5"/>
      <c r="D288" s="1"/>
      <c r="E288" s="5"/>
      <c r="G288" s="6"/>
      <c r="H288" s="1"/>
    </row>
    <row r="289" spans="2:8" x14ac:dyDescent="0.35">
      <c r="B289" s="5"/>
      <c r="C289" s="5"/>
      <c r="D289" s="1"/>
      <c r="E289" s="5"/>
      <c r="G289" s="6"/>
      <c r="H289" s="1"/>
    </row>
    <row r="290" spans="2:8" x14ac:dyDescent="0.35">
      <c r="B290" s="5"/>
      <c r="C290" s="5"/>
      <c r="D290" s="1"/>
      <c r="E290" s="5"/>
      <c r="G290" s="6"/>
      <c r="H290" s="1"/>
    </row>
    <row r="291" spans="2:8" x14ac:dyDescent="0.35">
      <c r="B291" s="5"/>
      <c r="C291" s="5"/>
      <c r="D291" s="1"/>
      <c r="E291" s="5"/>
      <c r="G291" s="6"/>
      <c r="H291" s="1"/>
    </row>
    <row r="292" spans="2:8" x14ac:dyDescent="0.35">
      <c r="B292" s="5"/>
      <c r="C292" s="5"/>
      <c r="D292" s="1"/>
      <c r="E292" s="5"/>
      <c r="G292" s="6"/>
      <c r="H292" s="1"/>
    </row>
    <row r="293" spans="2:8" x14ac:dyDescent="0.35">
      <c r="B293" s="5"/>
      <c r="C293" s="5"/>
      <c r="D293" s="1"/>
      <c r="E293" s="5"/>
      <c r="G293" s="6"/>
      <c r="H293" s="1"/>
    </row>
    <row r="294" spans="2:8" x14ac:dyDescent="0.35">
      <c r="B294" s="5"/>
      <c r="C294" s="5"/>
      <c r="D294" s="1"/>
      <c r="E294" s="5"/>
      <c r="G294" s="6"/>
      <c r="H294" s="1"/>
    </row>
    <row r="295" spans="2:8" x14ac:dyDescent="0.35">
      <c r="B295" s="5"/>
      <c r="C295" s="5"/>
      <c r="D295" s="1"/>
      <c r="E295" s="5"/>
      <c r="G295" s="6"/>
      <c r="H295" s="1"/>
    </row>
    <row r="296" spans="2:8" x14ac:dyDescent="0.35">
      <c r="B296" s="5"/>
      <c r="C296" s="5"/>
      <c r="D296" s="1"/>
      <c r="E296" s="5"/>
      <c r="G296" s="6"/>
      <c r="H296" s="1"/>
    </row>
    <row r="297" spans="2:8" x14ac:dyDescent="0.35">
      <c r="B297" s="5"/>
      <c r="C297" s="5"/>
      <c r="D297" s="1"/>
      <c r="E297" s="5"/>
      <c r="G297" s="6"/>
      <c r="H297" s="1"/>
    </row>
    <row r="298" spans="2:8" x14ac:dyDescent="0.35">
      <c r="B298" s="5"/>
      <c r="C298" s="5"/>
      <c r="D298" s="1"/>
      <c r="E298" s="5"/>
      <c r="G298" s="6"/>
      <c r="H298" s="1"/>
    </row>
    <row r="299" spans="2:8" x14ac:dyDescent="0.35">
      <c r="B299" s="5"/>
      <c r="C299" s="5"/>
      <c r="D299" s="1"/>
      <c r="E299" s="5"/>
      <c r="G299" s="6"/>
      <c r="H299" s="1"/>
    </row>
    <row r="300" spans="2:8" x14ac:dyDescent="0.35">
      <c r="B300" s="5"/>
      <c r="C300" s="5"/>
      <c r="D300" s="1"/>
      <c r="E300" s="5"/>
      <c r="G300" s="6"/>
      <c r="H300" s="1"/>
    </row>
    <row r="301" spans="2:8" x14ac:dyDescent="0.35">
      <c r="B301" s="5"/>
      <c r="C301" s="5"/>
      <c r="D301" s="1"/>
      <c r="E301" s="5"/>
      <c r="G301" s="6"/>
      <c r="H301" s="1"/>
    </row>
    <row r="302" spans="2:8" x14ac:dyDescent="0.35">
      <c r="B302" s="5"/>
      <c r="C302" s="5"/>
      <c r="D302" s="1"/>
      <c r="E302" s="5"/>
      <c r="G302" s="6"/>
      <c r="H302" s="1"/>
    </row>
    <row r="303" spans="2:8" x14ac:dyDescent="0.35">
      <c r="B303" s="5"/>
      <c r="C303" s="5"/>
      <c r="D303" s="1"/>
      <c r="E303" s="5"/>
      <c r="G303" s="6"/>
      <c r="H303" s="1"/>
    </row>
    <row r="304" spans="2:8" x14ac:dyDescent="0.35">
      <c r="B304" s="5"/>
      <c r="C304" s="5"/>
      <c r="D304" s="1"/>
      <c r="E304" s="5"/>
      <c r="G304" s="6"/>
      <c r="H304" s="1"/>
    </row>
    <row r="305" spans="2:8" x14ac:dyDescent="0.35">
      <c r="B305" s="5"/>
      <c r="C305" s="5"/>
      <c r="D305" s="1"/>
      <c r="E305" s="5"/>
      <c r="G305" s="6"/>
      <c r="H305" s="1"/>
    </row>
    <row r="306" spans="2:8" x14ac:dyDescent="0.35">
      <c r="B306" s="5"/>
      <c r="C306" s="5"/>
      <c r="D306" s="1"/>
      <c r="E306" s="5"/>
      <c r="G306" s="6"/>
      <c r="H306" s="1"/>
    </row>
    <row r="307" spans="2:8" x14ac:dyDescent="0.35">
      <c r="B307" s="5"/>
      <c r="C307" s="5"/>
      <c r="D307" s="1"/>
      <c r="E307" s="5"/>
      <c r="G307" s="6"/>
      <c r="H307" s="1"/>
    </row>
    <row r="308" spans="2:8" x14ac:dyDescent="0.35">
      <c r="B308" s="5"/>
      <c r="C308" s="5"/>
      <c r="D308" s="1"/>
      <c r="E308" s="5"/>
      <c r="G308" s="6"/>
      <c r="H308" s="1"/>
    </row>
    <row r="309" spans="2:8" x14ac:dyDescent="0.35">
      <c r="B309" s="5"/>
      <c r="C309" s="5"/>
      <c r="D309" s="1"/>
      <c r="E309" s="5"/>
      <c r="G309" s="6"/>
      <c r="H309" s="1"/>
    </row>
    <row r="310" spans="2:8" x14ac:dyDescent="0.35">
      <c r="B310" s="5"/>
      <c r="C310" s="5"/>
      <c r="D310" s="1"/>
      <c r="E310" s="5"/>
      <c r="G310" s="6"/>
      <c r="H310" s="1"/>
    </row>
    <row r="311" spans="2:8" x14ac:dyDescent="0.35">
      <c r="B311" s="5"/>
      <c r="C311" s="5"/>
      <c r="D311" s="1"/>
      <c r="E311" s="5"/>
      <c r="G311" s="6"/>
      <c r="H311" s="1"/>
    </row>
    <row r="312" spans="2:8" x14ac:dyDescent="0.35">
      <c r="B312" s="5"/>
      <c r="C312" s="5"/>
      <c r="D312" s="1"/>
      <c r="E312" s="5"/>
      <c r="G312" s="6"/>
      <c r="H312" s="1"/>
    </row>
    <row r="313" spans="2:8" x14ac:dyDescent="0.35">
      <c r="B313" s="5"/>
      <c r="C313" s="5"/>
      <c r="D313" s="1"/>
      <c r="E313" s="5"/>
      <c r="G313" s="6"/>
      <c r="H313" s="1"/>
    </row>
    <row r="314" spans="2:8" x14ac:dyDescent="0.35">
      <c r="B314" s="5"/>
      <c r="C314" s="5"/>
      <c r="D314" s="1"/>
      <c r="E314" s="5"/>
      <c r="G314" s="6"/>
      <c r="H314" s="1"/>
    </row>
    <row r="315" spans="2:8" x14ac:dyDescent="0.35">
      <c r="B315" s="5"/>
      <c r="C315" s="5"/>
      <c r="D315" s="1"/>
      <c r="E315" s="5"/>
      <c r="G315" s="6"/>
      <c r="H315" s="1"/>
    </row>
    <row r="316" spans="2:8" x14ac:dyDescent="0.35">
      <c r="B316" s="5"/>
      <c r="C316" s="5"/>
      <c r="D316" s="1"/>
      <c r="E316" s="5"/>
      <c r="G316" s="6"/>
      <c r="H316" s="1"/>
    </row>
    <row r="317" spans="2:8" x14ac:dyDescent="0.35">
      <c r="B317" s="5"/>
      <c r="C317" s="5"/>
      <c r="D317" s="1"/>
      <c r="E317" s="5"/>
      <c r="G317" s="6"/>
      <c r="H317" s="1"/>
    </row>
    <row r="318" spans="2:8" x14ac:dyDescent="0.35">
      <c r="B318" s="5"/>
      <c r="C318" s="5"/>
      <c r="D318" s="1"/>
      <c r="E318" s="5"/>
      <c r="G318" s="6"/>
      <c r="H318" s="1"/>
    </row>
    <row r="319" spans="2:8" x14ac:dyDescent="0.35">
      <c r="B319" s="5"/>
      <c r="C319" s="5"/>
      <c r="D319" s="1"/>
      <c r="E319" s="5"/>
      <c r="G319" s="6"/>
      <c r="H319" s="1"/>
    </row>
    <row r="320" spans="2:8" x14ac:dyDescent="0.35">
      <c r="B320" s="5"/>
      <c r="C320" s="5"/>
      <c r="D320" s="1"/>
      <c r="E320" s="5"/>
      <c r="G320" s="6"/>
      <c r="H320" s="1"/>
    </row>
    <row r="321" spans="2:8" x14ac:dyDescent="0.35">
      <c r="B321" s="5"/>
      <c r="C321" s="5"/>
      <c r="D321" s="1"/>
      <c r="E321" s="5"/>
      <c r="G321" s="6"/>
      <c r="H321" s="1"/>
    </row>
    <row r="322" spans="2:8" x14ac:dyDescent="0.35">
      <c r="B322" s="5"/>
      <c r="C322" s="5"/>
      <c r="D322" s="1"/>
      <c r="E322" s="5"/>
      <c r="G322" s="6"/>
      <c r="H322" s="1"/>
    </row>
    <row r="323" spans="2:8" x14ac:dyDescent="0.35">
      <c r="B323" s="5"/>
      <c r="C323" s="5"/>
      <c r="D323" s="1"/>
      <c r="E323" s="5"/>
      <c r="G323" s="6"/>
      <c r="H323" s="1"/>
    </row>
    <row r="324" spans="2:8" x14ac:dyDescent="0.35">
      <c r="B324" s="5"/>
      <c r="C324" s="5"/>
      <c r="D324" s="1"/>
      <c r="E324" s="5"/>
      <c r="G324" s="6"/>
      <c r="H324" s="1"/>
    </row>
    <row r="325" spans="2:8" x14ac:dyDescent="0.35">
      <c r="B325" s="5"/>
      <c r="C325" s="5"/>
      <c r="D325" s="1"/>
      <c r="E325" s="5"/>
      <c r="G325" s="6"/>
      <c r="H325" s="1"/>
    </row>
    <row r="326" spans="2:8" x14ac:dyDescent="0.35">
      <c r="B326" s="5"/>
      <c r="C326" s="5"/>
      <c r="D326" s="1"/>
      <c r="E326" s="5"/>
      <c r="G326" s="6"/>
      <c r="H326" s="1"/>
    </row>
    <row r="327" spans="2:8" x14ac:dyDescent="0.35">
      <c r="B327" s="5"/>
      <c r="C327" s="5"/>
      <c r="D327" s="1"/>
      <c r="E327" s="5"/>
      <c r="G327" s="6"/>
      <c r="H327" s="1"/>
    </row>
    <row r="328" spans="2:8" x14ac:dyDescent="0.35">
      <c r="B328" s="5"/>
      <c r="C328" s="5"/>
      <c r="D328" s="1"/>
      <c r="E328" s="5"/>
      <c r="G328" s="6"/>
      <c r="H328" s="1"/>
    </row>
    <row r="329" spans="2:8" x14ac:dyDescent="0.35">
      <c r="B329" s="5"/>
      <c r="C329" s="5"/>
      <c r="D329" s="1"/>
      <c r="E329" s="5"/>
      <c r="G329" s="6"/>
      <c r="H329" s="1"/>
    </row>
    <row r="330" spans="2:8" x14ac:dyDescent="0.35">
      <c r="B330" s="5"/>
      <c r="C330" s="5"/>
      <c r="D330" s="1"/>
      <c r="E330" s="5"/>
      <c r="G330" s="6"/>
      <c r="H330" s="1"/>
    </row>
    <row r="331" spans="2:8" x14ac:dyDescent="0.35">
      <c r="B331" s="5"/>
      <c r="C331" s="5"/>
      <c r="D331" s="1"/>
      <c r="E331" s="5"/>
      <c r="G331" s="6"/>
      <c r="H331" s="1"/>
    </row>
    <row r="332" spans="2:8" x14ac:dyDescent="0.35">
      <c r="B332" s="5"/>
      <c r="C332" s="5"/>
      <c r="D332" s="1"/>
      <c r="E332" s="5"/>
      <c r="G332" s="6"/>
      <c r="H332" s="1"/>
    </row>
    <row r="333" spans="2:8" x14ac:dyDescent="0.35">
      <c r="B333" s="5"/>
      <c r="C333" s="5"/>
      <c r="D333" s="1"/>
      <c r="E333" s="5"/>
      <c r="G333" s="6"/>
      <c r="H333" s="1"/>
    </row>
    <row r="334" spans="2:8" x14ac:dyDescent="0.35">
      <c r="B334" s="5"/>
      <c r="C334" s="5"/>
      <c r="D334" s="1"/>
      <c r="E334" s="5"/>
      <c r="G334" s="6"/>
      <c r="H334" s="1"/>
    </row>
    <row r="335" spans="2:8" x14ac:dyDescent="0.35">
      <c r="B335" s="5"/>
      <c r="C335" s="5"/>
      <c r="D335" s="1"/>
      <c r="E335" s="5"/>
      <c r="G335" s="6"/>
      <c r="H335" s="1"/>
    </row>
    <row r="336" spans="2:8" x14ac:dyDescent="0.35">
      <c r="B336" s="5"/>
      <c r="C336" s="5"/>
      <c r="D336" s="1"/>
      <c r="E336" s="5"/>
      <c r="G336" s="6"/>
      <c r="H336" s="1"/>
    </row>
    <row r="337" spans="2:8" x14ac:dyDescent="0.35">
      <c r="B337" s="5"/>
      <c r="C337" s="5"/>
      <c r="D337" s="1"/>
      <c r="E337" s="5"/>
      <c r="G337" s="6"/>
      <c r="H337" s="1"/>
    </row>
    <row r="338" spans="2:8" x14ac:dyDescent="0.35">
      <c r="B338" s="5"/>
      <c r="C338" s="5"/>
      <c r="D338" s="1"/>
      <c r="E338" s="5"/>
      <c r="G338" s="6"/>
      <c r="H338" s="1"/>
    </row>
    <row r="339" spans="2:8" x14ac:dyDescent="0.35">
      <c r="B339" s="5"/>
      <c r="C339" s="5"/>
      <c r="D339" s="1"/>
      <c r="E339" s="5"/>
      <c r="G339" s="6"/>
      <c r="H339" s="1"/>
    </row>
    <row r="340" spans="2:8" x14ac:dyDescent="0.35">
      <c r="B340" s="5"/>
      <c r="C340" s="5"/>
      <c r="D340" s="1"/>
      <c r="E340" s="5"/>
      <c r="G340" s="6"/>
      <c r="H340" s="1"/>
    </row>
    <row r="341" spans="2:8" x14ac:dyDescent="0.35">
      <c r="B341" s="5"/>
      <c r="C341" s="5"/>
      <c r="D341" s="1"/>
      <c r="E341" s="5"/>
      <c r="G341" s="6"/>
      <c r="H341" s="1"/>
    </row>
    <row r="342" spans="2:8" x14ac:dyDescent="0.35">
      <c r="B342" s="5"/>
      <c r="C342" s="5"/>
      <c r="D342" s="1"/>
      <c r="E342" s="5"/>
      <c r="G342" s="6"/>
      <c r="H342" s="1"/>
    </row>
    <row r="343" spans="2:8" x14ac:dyDescent="0.35">
      <c r="B343" s="5"/>
      <c r="C343" s="5"/>
      <c r="D343" s="1"/>
      <c r="E343" s="5"/>
      <c r="G343" s="6"/>
      <c r="H343" s="1"/>
    </row>
    <row r="344" spans="2:8" x14ac:dyDescent="0.35">
      <c r="B344" s="5"/>
      <c r="C344" s="5"/>
      <c r="D344" s="1"/>
      <c r="E344" s="5"/>
      <c r="G344" s="6"/>
      <c r="H344" s="1"/>
    </row>
    <row r="345" spans="2:8" x14ac:dyDescent="0.35">
      <c r="B345" s="5"/>
      <c r="C345" s="5"/>
      <c r="D345" s="1"/>
      <c r="E345" s="5"/>
      <c r="G345" s="6"/>
      <c r="H345" s="1"/>
    </row>
    <row r="346" spans="2:8" x14ac:dyDescent="0.35">
      <c r="B346" s="5"/>
      <c r="C346" s="5"/>
      <c r="D346" s="1"/>
      <c r="E346" s="5"/>
      <c r="G346" s="6"/>
      <c r="H346" s="1"/>
    </row>
    <row r="347" spans="2:8" x14ac:dyDescent="0.35">
      <c r="B347" s="5"/>
      <c r="C347" s="5"/>
      <c r="D347" s="1"/>
      <c r="E347" s="5"/>
      <c r="G347" s="6"/>
      <c r="H347" s="1"/>
    </row>
    <row r="348" spans="2:8" x14ac:dyDescent="0.35">
      <c r="B348" s="5"/>
      <c r="C348" s="5"/>
      <c r="D348" s="1"/>
      <c r="E348" s="5"/>
      <c r="G348" s="6"/>
      <c r="H348" s="1"/>
    </row>
    <row r="349" spans="2:8" x14ac:dyDescent="0.35">
      <c r="B349" s="5"/>
      <c r="C349" s="5"/>
      <c r="D349" s="1"/>
      <c r="E349" s="5"/>
      <c r="G349" s="6"/>
      <c r="H349" s="1"/>
    </row>
    <row r="350" spans="2:8" x14ac:dyDescent="0.35">
      <c r="B350" s="5"/>
      <c r="C350" s="5"/>
      <c r="D350" s="1"/>
      <c r="E350" s="5"/>
      <c r="G350" s="6"/>
      <c r="H350" s="1"/>
    </row>
    <row r="351" spans="2:8" x14ac:dyDescent="0.35">
      <c r="B351" s="5"/>
      <c r="C351" s="5"/>
      <c r="D351" s="1"/>
      <c r="E351" s="5"/>
      <c r="G351" s="6"/>
      <c r="H351" s="1"/>
    </row>
    <row r="352" spans="2:8" x14ac:dyDescent="0.35">
      <c r="B352" s="5"/>
      <c r="C352" s="5"/>
      <c r="D352" s="1"/>
      <c r="E352" s="5"/>
      <c r="G352" s="6"/>
      <c r="H352" s="1"/>
    </row>
    <row r="353" spans="2:8" x14ac:dyDescent="0.35">
      <c r="B353" s="5"/>
      <c r="C353" s="5"/>
      <c r="D353" s="1"/>
      <c r="E353" s="5"/>
      <c r="G353" s="6"/>
      <c r="H353" s="1"/>
    </row>
    <row r="354" spans="2:8" x14ac:dyDescent="0.35">
      <c r="B354" s="5"/>
      <c r="C354" s="5"/>
      <c r="D354" s="1"/>
      <c r="E354" s="5"/>
      <c r="G354" s="6"/>
      <c r="H354" s="1"/>
    </row>
    <row r="355" spans="2:8" x14ac:dyDescent="0.35">
      <c r="B355" s="5"/>
      <c r="C355" s="5"/>
      <c r="D355" s="1"/>
      <c r="E355" s="5"/>
      <c r="G355" s="6"/>
      <c r="H355" s="1"/>
    </row>
    <row r="356" spans="2:8" x14ac:dyDescent="0.35">
      <c r="B356" s="5"/>
      <c r="C356" s="5"/>
      <c r="D356" s="1"/>
      <c r="E356" s="5"/>
      <c r="G356" s="6"/>
      <c r="H356" s="1"/>
    </row>
    <row r="357" spans="2:8" x14ac:dyDescent="0.35">
      <c r="B357" s="5"/>
      <c r="C357" s="5"/>
      <c r="D357" s="1"/>
      <c r="E357" s="5"/>
      <c r="G357" s="6"/>
      <c r="H357" s="1"/>
    </row>
    <row r="358" spans="2:8" x14ac:dyDescent="0.35">
      <c r="B358" s="5"/>
      <c r="C358" s="5"/>
      <c r="D358" s="1"/>
      <c r="E358" s="5"/>
      <c r="G358" s="6"/>
      <c r="H358" s="1"/>
    </row>
    <row r="359" spans="2:8" x14ac:dyDescent="0.35">
      <c r="B359" s="5"/>
      <c r="C359" s="5"/>
      <c r="D359" s="1"/>
      <c r="E359" s="5"/>
      <c r="G359" s="6"/>
      <c r="H359" s="1"/>
    </row>
    <row r="360" spans="2:8" x14ac:dyDescent="0.35">
      <c r="B360" s="5"/>
      <c r="C360" s="5"/>
      <c r="D360" s="1"/>
      <c r="E360" s="5"/>
      <c r="G360" s="6"/>
      <c r="H360" s="1"/>
    </row>
    <row r="361" spans="2:8" x14ac:dyDescent="0.35">
      <c r="B361" s="5"/>
      <c r="C361" s="5"/>
      <c r="D361" s="1"/>
      <c r="E361" s="5"/>
      <c r="G361" s="6"/>
      <c r="H361" s="1"/>
    </row>
    <row r="362" spans="2:8" x14ac:dyDescent="0.35">
      <c r="B362" s="5"/>
      <c r="C362" s="5"/>
      <c r="D362" s="1"/>
      <c r="E362" s="5"/>
      <c r="G362" s="6"/>
      <c r="H362" s="1"/>
    </row>
    <row r="363" spans="2:8" x14ac:dyDescent="0.35">
      <c r="B363" s="5"/>
      <c r="C363" s="5"/>
      <c r="D363" s="1"/>
      <c r="E363" s="5"/>
      <c r="G363" s="6"/>
      <c r="H363" s="1"/>
    </row>
    <row r="364" spans="2:8" x14ac:dyDescent="0.35">
      <c r="B364" s="5"/>
      <c r="C364" s="5"/>
      <c r="D364" s="1"/>
      <c r="E364" s="5"/>
      <c r="G364" s="6"/>
      <c r="H364" s="1"/>
    </row>
    <row r="365" spans="2:8" x14ac:dyDescent="0.35">
      <c r="B365" s="5"/>
      <c r="C365" s="5"/>
      <c r="D365" s="1"/>
      <c r="E365" s="5"/>
      <c r="G365" s="6"/>
      <c r="H365" s="1"/>
    </row>
    <row r="366" spans="2:8" x14ac:dyDescent="0.35">
      <c r="B366" s="5"/>
      <c r="C366" s="5"/>
      <c r="D366" s="1"/>
      <c r="E366" s="5"/>
      <c r="G366" s="6"/>
      <c r="H366" s="1"/>
    </row>
    <row r="367" spans="2:8" x14ac:dyDescent="0.35">
      <c r="B367" s="5"/>
      <c r="C367" s="5"/>
      <c r="D367" s="1"/>
      <c r="E367" s="5"/>
      <c r="G367" s="6"/>
      <c r="H367" s="1"/>
    </row>
    <row r="368" spans="2:8" x14ac:dyDescent="0.35">
      <c r="B368" s="5"/>
      <c r="C368" s="5"/>
      <c r="D368" s="1"/>
      <c r="E368" s="5"/>
      <c r="G368" s="6"/>
      <c r="H368" s="1"/>
    </row>
    <row r="369" spans="2:8" x14ac:dyDescent="0.35">
      <c r="B369" s="5"/>
      <c r="C369" s="5"/>
      <c r="D369" s="1"/>
      <c r="E369" s="5"/>
      <c r="G369" s="6"/>
      <c r="H369" s="1"/>
    </row>
    <row r="370" spans="2:8" x14ac:dyDescent="0.35">
      <c r="B370" s="5"/>
      <c r="C370" s="5"/>
      <c r="D370" s="1"/>
      <c r="E370" s="5"/>
      <c r="G370" s="6"/>
      <c r="H370" s="1"/>
    </row>
    <row r="371" spans="2:8" x14ac:dyDescent="0.35">
      <c r="B371" s="5"/>
      <c r="C371" s="5"/>
      <c r="D371" s="1"/>
      <c r="E371" s="5"/>
      <c r="G371" s="6"/>
      <c r="H371" s="1"/>
    </row>
    <row r="372" spans="2:8" x14ac:dyDescent="0.35">
      <c r="B372" s="5"/>
      <c r="C372" s="5"/>
      <c r="D372" s="1"/>
      <c r="E372" s="5"/>
      <c r="G372" s="6"/>
      <c r="H372" s="1"/>
    </row>
    <row r="373" spans="2:8" x14ac:dyDescent="0.35">
      <c r="B373" s="5"/>
      <c r="C373" s="5"/>
      <c r="D373" s="1"/>
      <c r="E373" s="5"/>
      <c r="G373" s="6"/>
      <c r="H373" s="1"/>
    </row>
    <row r="374" spans="2:8" x14ac:dyDescent="0.35">
      <c r="B374" s="5"/>
      <c r="C374" s="5"/>
      <c r="D374" s="1"/>
      <c r="E374" s="5"/>
      <c r="G374" s="6"/>
      <c r="H374" s="1"/>
    </row>
    <row r="375" spans="2:8" x14ac:dyDescent="0.35">
      <c r="B375" s="5"/>
      <c r="C375" s="5"/>
      <c r="D375" s="1"/>
      <c r="E375" s="5"/>
      <c r="G375" s="6"/>
      <c r="H375" s="1"/>
    </row>
    <row r="376" spans="2:8" x14ac:dyDescent="0.35">
      <c r="B376" s="5"/>
      <c r="C376" s="5"/>
      <c r="D376" s="1"/>
      <c r="E376" s="5"/>
      <c r="G376" s="6"/>
      <c r="H376" s="1"/>
    </row>
    <row r="377" spans="2:8" x14ac:dyDescent="0.35">
      <c r="B377" s="5"/>
      <c r="C377" s="5"/>
      <c r="D377" s="1"/>
      <c r="E377" s="5"/>
      <c r="G377" s="6"/>
      <c r="H377" s="1"/>
    </row>
    <row r="378" spans="2:8" x14ac:dyDescent="0.35">
      <c r="B378" s="5"/>
      <c r="C378" s="5"/>
      <c r="D378" s="1"/>
      <c r="E378" s="5"/>
      <c r="G378" s="6"/>
      <c r="H378" s="1"/>
    </row>
    <row r="379" spans="2:8" x14ac:dyDescent="0.35">
      <c r="B379" s="5"/>
      <c r="C379" s="5"/>
      <c r="D379" s="1"/>
      <c r="E379" s="5"/>
      <c r="G379" s="6"/>
      <c r="H379" s="1"/>
    </row>
    <row r="380" spans="2:8" x14ac:dyDescent="0.35">
      <c r="B380" s="5"/>
      <c r="C380" s="5"/>
      <c r="D380" s="1"/>
      <c r="E380" s="5"/>
      <c r="G380" s="6"/>
      <c r="H380" s="1"/>
    </row>
    <row r="381" spans="2:8" x14ac:dyDescent="0.35">
      <c r="B381" s="5"/>
      <c r="C381" s="5"/>
      <c r="D381" s="1"/>
      <c r="E381" s="5"/>
      <c r="G381" s="6"/>
      <c r="H381" s="1"/>
    </row>
    <row r="382" spans="2:8" x14ac:dyDescent="0.35">
      <c r="B382" s="5"/>
      <c r="C382" s="5"/>
      <c r="D382" s="1"/>
      <c r="E382" s="5"/>
      <c r="G382" s="6"/>
      <c r="H382" s="1"/>
    </row>
    <row r="383" spans="2:8" x14ac:dyDescent="0.35">
      <c r="B383" s="5"/>
      <c r="C383" s="5"/>
      <c r="D383" s="1"/>
      <c r="E383" s="5"/>
      <c r="G383" s="6"/>
      <c r="H383" s="1"/>
    </row>
    <row r="384" spans="2:8" x14ac:dyDescent="0.35">
      <c r="B384" s="5"/>
      <c r="C384" s="5"/>
      <c r="D384" s="1"/>
      <c r="E384" s="5"/>
      <c r="G384" s="6"/>
      <c r="H384" s="1"/>
    </row>
    <row r="385" spans="2:8" x14ac:dyDescent="0.35">
      <c r="B385" s="5"/>
      <c r="C385" s="5"/>
      <c r="D385" s="1"/>
      <c r="E385" s="5"/>
      <c r="G385" s="6"/>
      <c r="H385" s="1"/>
    </row>
    <row r="386" spans="2:8" x14ac:dyDescent="0.35">
      <c r="B386" s="5"/>
      <c r="C386" s="5"/>
      <c r="D386" s="1"/>
      <c r="E386" s="5"/>
      <c r="G386" s="6"/>
      <c r="H386" s="1"/>
    </row>
    <row r="387" spans="2:8" x14ac:dyDescent="0.35">
      <c r="B387" s="5"/>
      <c r="C387" s="5"/>
      <c r="D387" s="1"/>
      <c r="E387" s="5"/>
      <c r="G387" s="6"/>
      <c r="H387" s="1"/>
    </row>
    <row r="388" spans="2:8" x14ac:dyDescent="0.35">
      <c r="B388" s="5"/>
      <c r="C388" s="5"/>
      <c r="D388" s="1"/>
      <c r="E388" s="5"/>
      <c r="G388" s="6"/>
      <c r="H388" s="1"/>
    </row>
    <row r="389" spans="2:8" x14ac:dyDescent="0.35">
      <c r="B389" s="5"/>
      <c r="C389" s="5"/>
      <c r="D389" s="1"/>
      <c r="E389" s="5"/>
      <c r="G389" s="6"/>
      <c r="H389" s="1"/>
    </row>
    <row r="390" spans="2:8" x14ac:dyDescent="0.35">
      <c r="B390" s="5"/>
      <c r="C390" s="5"/>
      <c r="D390" s="1"/>
      <c r="E390" s="5"/>
      <c r="G390" s="6"/>
      <c r="H390" s="1"/>
    </row>
    <row r="391" spans="2:8" x14ac:dyDescent="0.35">
      <c r="B391" s="5"/>
      <c r="C391" s="5"/>
      <c r="D391" s="1"/>
      <c r="E391" s="5"/>
      <c r="G391" s="6"/>
      <c r="H391" s="1"/>
    </row>
    <row r="392" spans="2:8" x14ac:dyDescent="0.35">
      <c r="B392" s="5"/>
      <c r="C392" s="5"/>
      <c r="D392" s="1"/>
      <c r="E392" s="5"/>
      <c r="G392" s="6"/>
      <c r="H392" s="1"/>
    </row>
    <row r="393" spans="2:8" x14ac:dyDescent="0.35">
      <c r="B393" s="5"/>
      <c r="C393" s="5"/>
      <c r="D393" s="1"/>
      <c r="E393" s="5"/>
      <c r="G393" s="6"/>
      <c r="H393" s="1"/>
    </row>
    <row r="394" spans="2:8" x14ac:dyDescent="0.35">
      <c r="B394" s="5"/>
      <c r="C394" s="5"/>
      <c r="D394" s="1"/>
      <c r="E394" s="5"/>
      <c r="G394" s="6"/>
      <c r="H394" s="1"/>
    </row>
    <row r="395" spans="2:8" x14ac:dyDescent="0.35">
      <c r="B395" s="5"/>
      <c r="C395" s="5"/>
      <c r="D395" s="1"/>
      <c r="E395" s="5"/>
      <c r="G395" s="6"/>
      <c r="H395" s="1"/>
    </row>
    <row r="396" spans="2:8" x14ac:dyDescent="0.35">
      <c r="B396" s="5"/>
      <c r="C396" s="5"/>
      <c r="D396" s="1"/>
      <c r="E396" s="5"/>
      <c r="G396" s="6"/>
      <c r="H396" s="1"/>
    </row>
    <row r="397" spans="2:8" x14ac:dyDescent="0.35">
      <c r="B397" s="5"/>
      <c r="C397" s="5"/>
      <c r="D397" s="1"/>
      <c r="E397" s="5"/>
      <c r="G397" s="6"/>
      <c r="H397" s="1"/>
    </row>
    <row r="398" spans="2:8" x14ac:dyDescent="0.35">
      <c r="B398" s="5"/>
      <c r="C398" s="5"/>
      <c r="D398" s="1"/>
      <c r="E398" s="5"/>
      <c r="G398" s="6"/>
      <c r="H398" s="1"/>
    </row>
    <row r="399" spans="2:8" x14ac:dyDescent="0.35">
      <c r="B399" s="5"/>
      <c r="C399" s="5"/>
      <c r="D399" s="1"/>
      <c r="E399" s="5"/>
      <c r="G399" s="6"/>
      <c r="H399" s="1"/>
    </row>
    <row r="400" spans="2:8" x14ac:dyDescent="0.35">
      <c r="B400" s="5"/>
      <c r="C400" s="5"/>
      <c r="D400" s="1"/>
      <c r="E400" s="5"/>
      <c r="G400" s="6"/>
      <c r="H400" s="1"/>
    </row>
    <row r="401" spans="2:8" x14ac:dyDescent="0.35">
      <c r="B401" s="5"/>
      <c r="C401" s="5"/>
      <c r="D401" s="1"/>
      <c r="E401" s="5"/>
      <c r="G401" s="6"/>
      <c r="H401" s="1"/>
    </row>
    <row r="402" spans="2:8" x14ac:dyDescent="0.35">
      <c r="B402" s="5"/>
      <c r="C402" s="5"/>
      <c r="D402" s="1"/>
      <c r="E402" s="5"/>
      <c r="G402" s="6"/>
      <c r="H402" s="1"/>
    </row>
    <row r="403" spans="2:8" x14ac:dyDescent="0.35">
      <c r="B403" s="5"/>
      <c r="C403" s="5"/>
      <c r="D403" s="1"/>
      <c r="E403" s="5"/>
      <c r="G403" s="6"/>
      <c r="H403" s="1"/>
    </row>
    <row r="404" spans="2:8" x14ac:dyDescent="0.35">
      <c r="B404" s="5"/>
      <c r="C404" s="5"/>
      <c r="D404" s="1"/>
      <c r="E404" s="5"/>
      <c r="G404" s="6"/>
      <c r="H404" s="1"/>
    </row>
    <row r="405" spans="2:8" x14ac:dyDescent="0.35">
      <c r="B405" s="5"/>
      <c r="C405" s="5"/>
      <c r="D405" s="1"/>
      <c r="E405" s="5"/>
      <c r="G405" s="6"/>
      <c r="H405" s="1"/>
    </row>
    <row r="406" spans="2:8" x14ac:dyDescent="0.35">
      <c r="B406" s="5"/>
      <c r="C406" s="5"/>
      <c r="D406" s="1"/>
      <c r="E406" s="5"/>
      <c r="G406" s="6"/>
      <c r="H406" s="1"/>
    </row>
    <row r="407" spans="2:8" x14ac:dyDescent="0.35">
      <c r="B407" s="5"/>
      <c r="C407" s="5"/>
      <c r="D407" s="1"/>
      <c r="E407" s="5"/>
      <c r="G407" s="6"/>
      <c r="H407" s="1"/>
    </row>
    <row r="408" spans="2:8" x14ac:dyDescent="0.35">
      <c r="B408" s="5"/>
      <c r="C408" s="5"/>
      <c r="D408" s="1"/>
      <c r="E408" s="5"/>
      <c r="G408" s="6"/>
      <c r="H408" s="1"/>
    </row>
    <row r="409" spans="2:8" x14ac:dyDescent="0.35">
      <c r="B409" s="5"/>
      <c r="C409" s="5"/>
      <c r="D409" s="1"/>
      <c r="E409" s="5"/>
      <c r="G409" s="6"/>
      <c r="H409" s="1"/>
    </row>
    <row r="410" spans="2:8" x14ac:dyDescent="0.35">
      <c r="B410" s="5"/>
      <c r="C410" s="5"/>
      <c r="D410" s="1"/>
      <c r="E410" s="5"/>
      <c r="G410" s="6"/>
      <c r="H410" s="1"/>
    </row>
    <row r="411" spans="2:8" x14ac:dyDescent="0.35">
      <c r="B411" s="5"/>
      <c r="C411" s="5"/>
      <c r="D411" s="1"/>
      <c r="E411" s="5"/>
      <c r="G411" s="6"/>
      <c r="H411" s="1"/>
    </row>
    <row r="412" spans="2:8" x14ac:dyDescent="0.35">
      <c r="B412" s="5"/>
      <c r="C412" s="5"/>
      <c r="D412" s="1"/>
      <c r="E412" s="5"/>
      <c r="G412" s="6"/>
      <c r="H412" s="1"/>
    </row>
    <row r="413" spans="2:8" x14ac:dyDescent="0.35">
      <c r="B413" s="5"/>
      <c r="C413" s="5"/>
      <c r="D413" s="1"/>
      <c r="E413" s="5"/>
      <c r="G413" s="6"/>
      <c r="H413" s="1"/>
    </row>
    <row r="414" spans="2:8" x14ac:dyDescent="0.35">
      <c r="B414" s="5"/>
      <c r="C414" s="5"/>
      <c r="D414" s="1"/>
      <c r="E414" s="5"/>
      <c r="G414" s="6"/>
      <c r="H414" s="1"/>
    </row>
    <row r="415" spans="2:8" x14ac:dyDescent="0.35">
      <c r="B415" s="5"/>
      <c r="C415" s="5"/>
      <c r="D415" s="1"/>
      <c r="E415" s="5"/>
      <c r="G415" s="6"/>
      <c r="H415" s="1"/>
    </row>
    <row r="416" spans="2:8" x14ac:dyDescent="0.35">
      <c r="B416" s="5"/>
      <c r="C416" s="5"/>
      <c r="D416" s="1"/>
      <c r="E416" s="5"/>
      <c r="G416" s="6"/>
      <c r="H416" s="1"/>
    </row>
    <row r="417" spans="2:8" x14ac:dyDescent="0.35">
      <c r="B417" s="5"/>
      <c r="C417" s="5"/>
      <c r="D417" s="1"/>
      <c r="E417" s="5"/>
      <c r="G417" s="6"/>
      <c r="H417" s="1"/>
    </row>
    <row r="418" spans="2:8" x14ac:dyDescent="0.35">
      <c r="B418" s="5"/>
      <c r="C418" s="5"/>
      <c r="D418" s="1"/>
      <c r="E418" s="5"/>
      <c r="G418" s="6"/>
      <c r="H418" s="1"/>
    </row>
    <row r="419" spans="2:8" x14ac:dyDescent="0.35">
      <c r="B419" s="5"/>
      <c r="C419" s="5"/>
      <c r="D419" s="1"/>
      <c r="E419" s="5"/>
      <c r="G419" s="6"/>
      <c r="H419" s="1"/>
    </row>
    <row r="420" spans="2:8" x14ac:dyDescent="0.35">
      <c r="B420" s="5"/>
      <c r="C420" s="5"/>
      <c r="D420" s="1"/>
      <c r="E420" s="5"/>
      <c r="G420" s="6"/>
      <c r="H420" s="1"/>
    </row>
    <row r="421" spans="2:8" x14ac:dyDescent="0.35">
      <c r="B421" s="5"/>
      <c r="C421" s="5"/>
      <c r="D421" s="1"/>
      <c r="E421" s="5"/>
      <c r="G421" s="6"/>
      <c r="H421" s="1"/>
    </row>
    <row r="422" spans="2:8" x14ac:dyDescent="0.35">
      <c r="B422" s="5"/>
      <c r="C422" s="5"/>
      <c r="D422" s="1"/>
      <c r="E422" s="5"/>
      <c r="G422" s="6"/>
      <c r="H422" s="1"/>
    </row>
    <row r="423" spans="2:8" x14ac:dyDescent="0.35">
      <c r="B423" s="5"/>
      <c r="C423" s="5"/>
      <c r="D423" s="1"/>
      <c r="E423" s="5"/>
      <c r="G423" s="6"/>
      <c r="H423" s="1"/>
    </row>
    <row r="424" spans="2:8" x14ac:dyDescent="0.35">
      <c r="B424" s="5"/>
      <c r="C424" s="5"/>
      <c r="D424" s="1"/>
      <c r="E424" s="5"/>
      <c r="G424" s="6"/>
      <c r="H424" s="1"/>
    </row>
    <row r="425" spans="2:8" x14ac:dyDescent="0.35">
      <c r="B425" s="5"/>
      <c r="C425" s="5"/>
      <c r="D425" s="1"/>
      <c r="E425" s="5"/>
      <c r="G425" s="6"/>
      <c r="H425" s="1"/>
    </row>
    <row r="426" spans="2:8" x14ac:dyDescent="0.35">
      <c r="B426" s="5"/>
      <c r="C426" s="5"/>
      <c r="D426" s="1"/>
      <c r="E426" s="5"/>
      <c r="G426" s="6"/>
      <c r="H426" s="1"/>
    </row>
    <row r="427" spans="2:8" x14ac:dyDescent="0.35">
      <c r="B427" s="5"/>
      <c r="C427" s="5"/>
      <c r="D427" s="1"/>
      <c r="E427" s="5"/>
      <c r="G427" s="6"/>
      <c r="H427" s="1"/>
    </row>
    <row r="428" spans="2:8" x14ac:dyDescent="0.35">
      <c r="B428" s="5"/>
      <c r="C428" s="5"/>
      <c r="D428" s="1"/>
      <c r="E428" s="5"/>
      <c r="G428" s="6"/>
      <c r="H428" s="1"/>
    </row>
    <row r="429" spans="2:8" x14ac:dyDescent="0.35">
      <c r="B429" s="5"/>
      <c r="C429" s="5"/>
      <c r="D429" s="1"/>
      <c r="E429" s="5"/>
      <c r="G429" s="6"/>
      <c r="H429" s="1"/>
    </row>
    <row r="430" spans="2:8" x14ac:dyDescent="0.35">
      <c r="B430" s="5"/>
      <c r="C430" s="5"/>
      <c r="D430" s="1"/>
      <c r="E430" s="5"/>
      <c r="G430" s="6"/>
      <c r="H430" s="1"/>
    </row>
    <row r="431" spans="2:8" x14ac:dyDescent="0.35">
      <c r="B431" s="5"/>
      <c r="C431" s="5"/>
      <c r="D431" s="1"/>
      <c r="E431" s="5"/>
      <c r="G431" s="6"/>
      <c r="H431" s="1"/>
    </row>
    <row r="432" spans="2:8" x14ac:dyDescent="0.35">
      <c r="B432" s="5"/>
      <c r="C432" s="5"/>
      <c r="D432" s="1"/>
      <c r="E432" s="5"/>
      <c r="G432" s="6"/>
      <c r="H432" s="1"/>
    </row>
    <row r="433" spans="2:8" x14ac:dyDescent="0.35">
      <c r="B433" s="5"/>
      <c r="C433" s="5"/>
      <c r="D433" s="1"/>
      <c r="E433" s="5"/>
      <c r="G433" s="6"/>
      <c r="H433" s="1"/>
    </row>
    <row r="434" spans="2:8" x14ac:dyDescent="0.35">
      <c r="B434" s="5"/>
      <c r="C434" s="5"/>
      <c r="D434" s="1"/>
      <c r="E434" s="5"/>
      <c r="G434" s="6"/>
      <c r="H434" s="1"/>
    </row>
    <row r="435" spans="2:8" x14ac:dyDescent="0.35">
      <c r="B435" s="5"/>
      <c r="C435" s="5"/>
      <c r="D435" s="1"/>
      <c r="E435" s="5"/>
      <c r="G435" s="6"/>
      <c r="H435" s="1"/>
    </row>
    <row r="436" spans="2:8" x14ac:dyDescent="0.35">
      <c r="B436" s="5"/>
      <c r="C436" s="5"/>
      <c r="D436" s="1"/>
      <c r="E436" s="5"/>
      <c r="G436" s="6"/>
      <c r="H436" s="1"/>
    </row>
    <row r="437" spans="2:8" x14ac:dyDescent="0.35">
      <c r="B437" s="5"/>
      <c r="C437" s="5"/>
      <c r="D437" s="1"/>
      <c r="E437" s="5"/>
      <c r="G437" s="6"/>
      <c r="H437" s="1"/>
    </row>
    <row r="438" spans="2:8" x14ac:dyDescent="0.35">
      <c r="B438" s="5"/>
      <c r="C438" s="5"/>
      <c r="D438" s="1"/>
      <c r="E438" s="5"/>
      <c r="G438" s="6"/>
      <c r="H438" s="1"/>
    </row>
    <row r="439" spans="2:8" x14ac:dyDescent="0.35">
      <c r="B439" s="5"/>
      <c r="C439" s="5"/>
      <c r="D439" s="1"/>
      <c r="E439" s="5"/>
      <c r="G439" s="6"/>
      <c r="H439" s="1"/>
    </row>
    <row r="440" spans="2:8" x14ac:dyDescent="0.35">
      <c r="B440" s="5"/>
      <c r="C440" s="5"/>
      <c r="D440" s="1"/>
      <c r="E440" s="5"/>
      <c r="G440" s="6"/>
      <c r="H440" s="1"/>
    </row>
    <row r="441" spans="2:8" x14ac:dyDescent="0.35">
      <c r="B441" s="5"/>
      <c r="C441" s="5"/>
      <c r="D441" s="1"/>
      <c r="E441" s="5"/>
      <c r="G441" s="6"/>
      <c r="H441" s="1"/>
    </row>
    <row r="442" spans="2:8" x14ac:dyDescent="0.35">
      <c r="B442" s="5"/>
      <c r="C442" s="5"/>
      <c r="D442" s="1"/>
      <c r="E442" s="5"/>
      <c r="G442" s="6"/>
      <c r="H442" s="1"/>
    </row>
    <row r="443" spans="2:8" x14ac:dyDescent="0.35">
      <c r="B443" s="5"/>
      <c r="C443" s="5"/>
      <c r="D443" s="1"/>
      <c r="E443" s="5"/>
      <c r="G443" s="6"/>
      <c r="H443" s="1"/>
    </row>
    <row r="444" spans="2:8" x14ac:dyDescent="0.35">
      <c r="B444" s="5"/>
      <c r="C444" s="5"/>
      <c r="D444" s="1"/>
      <c r="E444" s="5"/>
      <c r="G444" s="6"/>
      <c r="H444" s="1"/>
    </row>
    <row r="445" spans="2:8" x14ac:dyDescent="0.35">
      <c r="B445" s="5"/>
      <c r="C445" s="5"/>
      <c r="D445" s="1"/>
      <c r="E445" s="5"/>
      <c r="G445" s="6"/>
      <c r="H445" s="1"/>
    </row>
    <row r="446" spans="2:8" x14ac:dyDescent="0.35">
      <c r="B446" s="5"/>
      <c r="C446" s="5"/>
      <c r="D446" s="1"/>
      <c r="E446" s="5"/>
      <c r="G446" s="6"/>
      <c r="H446" s="1"/>
    </row>
    <row r="447" spans="2:8" x14ac:dyDescent="0.35">
      <c r="B447" s="5"/>
      <c r="C447" s="5"/>
      <c r="D447" s="1"/>
      <c r="E447" s="5"/>
      <c r="G447" s="6"/>
      <c r="H447" s="1"/>
    </row>
    <row r="448" spans="2:8" x14ac:dyDescent="0.35">
      <c r="B448" s="5"/>
      <c r="C448" s="5"/>
      <c r="D448" s="1"/>
      <c r="E448" s="5"/>
      <c r="G448" s="6"/>
      <c r="H448" s="1"/>
    </row>
    <row r="449" spans="2:8" x14ac:dyDescent="0.35">
      <c r="B449" s="5"/>
      <c r="C449" s="5"/>
      <c r="D449" s="1"/>
      <c r="E449" s="5"/>
      <c r="G449" s="6"/>
      <c r="H449" s="1"/>
    </row>
    <row r="450" spans="2:8" x14ac:dyDescent="0.35">
      <c r="B450" s="5"/>
      <c r="C450" s="5"/>
      <c r="D450" s="1"/>
      <c r="E450" s="5"/>
      <c r="G450" s="6"/>
      <c r="H450" s="1"/>
    </row>
    <row r="451" spans="2:8" x14ac:dyDescent="0.35">
      <c r="B451" s="5"/>
      <c r="C451" s="5"/>
      <c r="D451" s="1"/>
      <c r="E451" s="5"/>
      <c r="G451" s="6"/>
      <c r="H451" s="1"/>
    </row>
    <row r="452" spans="2:8" x14ac:dyDescent="0.35">
      <c r="B452" s="5"/>
      <c r="C452" s="5"/>
      <c r="D452" s="1"/>
      <c r="E452" s="5"/>
      <c r="G452" s="6"/>
      <c r="H452" s="1"/>
    </row>
    <row r="453" spans="2:8" x14ac:dyDescent="0.35">
      <c r="B453" s="5"/>
      <c r="C453" s="5"/>
      <c r="D453" s="1"/>
      <c r="E453" s="5"/>
      <c r="G453" s="6"/>
      <c r="H453" s="1"/>
    </row>
    <row r="454" spans="2:8" x14ac:dyDescent="0.35">
      <c r="B454" s="5"/>
      <c r="C454" s="5"/>
      <c r="D454" s="1"/>
      <c r="E454" s="5"/>
      <c r="G454" s="6"/>
      <c r="H454" s="1"/>
    </row>
    <row r="455" spans="2:8" x14ac:dyDescent="0.35">
      <c r="B455" s="5"/>
      <c r="C455" s="5"/>
      <c r="D455" s="1"/>
      <c r="E455" s="5"/>
      <c r="G455" s="6"/>
      <c r="H455" s="1"/>
    </row>
    <row r="456" spans="2:8" x14ac:dyDescent="0.35">
      <c r="B456" s="5"/>
      <c r="C456" s="5"/>
      <c r="D456" s="1"/>
      <c r="E456" s="5"/>
      <c r="G456" s="6"/>
      <c r="H456" s="1"/>
    </row>
    <row r="457" spans="2:8" x14ac:dyDescent="0.35">
      <c r="B457" s="5"/>
      <c r="C457" s="5"/>
      <c r="D457" s="1"/>
      <c r="E457" s="5"/>
      <c r="G457" s="6"/>
      <c r="H457" s="1"/>
    </row>
    <row r="458" spans="2:8" x14ac:dyDescent="0.35">
      <c r="B458" s="5"/>
      <c r="C458" s="5"/>
      <c r="D458" s="1"/>
      <c r="E458" s="5"/>
      <c r="G458" s="6"/>
      <c r="H458" s="1"/>
    </row>
    <row r="459" spans="2:8" x14ac:dyDescent="0.35">
      <c r="B459" s="5"/>
      <c r="C459" s="5"/>
      <c r="D459" s="1"/>
      <c r="E459" s="5"/>
      <c r="G459" s="6"/>
      <c r="H459" s="1"/>
    </row>
    <row r="460" spans="2:8" x14ac:dyDescent="0.35">
      <c r="B460" s="5"/>
      <c r="C460" s="5"/>
      <c r="D460" s="1"/>
      <c r="E460" s="5"/>
      <c r="G460" s="6"/>
      <c r="H460" s="1"/>
    </row>
    <row r="461" spans="2:8" x14ac:dyDescent="0.35">
      <c r="B461" s="5"/>
      <c r="C461" s="5"/>
      <c r="D461" s="1"/>
      <c r="E461" s="5"/>
      <c r="G461" s="6"/>
      <c r="H461" s="1"/>
    </row>
    <row r="462" spans="2:8" x14ac:dyDescent="0.35">
      <c r="B462" s="5"/>
      <c r="C462" s="5"/>
      <c r="D462" s="1"/>
      <c r="E462" s="5"/>
      <c r="G462" s="6"/>
      <c r="H462" s="1"/>
    </row>
    <row r="463" spans="2:8" x14ac:dyDescent="0.35">
      <c r="B463" s="5"/>
      <c r="C463" s="5"/>
      <c r="D463" s="1"/>
      <c r="E463" s="5"/>
      <c r="G463" s="6"/>
      <c r="H463" s="1"/>
    </row>
    <row r="464" spans="2:8" x14ac:dyDescent="0.35">
      <c r="B464" s="5"/>
      <c r="C464" s="5"/>
      <c r="D464" s="1"/>
      <c r="E464" s="5"/>
      <c r="G464" s="6"/>
      <c r="H464" s="1"/>
    </row>
    <row r="465" spans="2:8" x14ac:dyDescent="0.35">
      <c r="B465" s="5"/>
      <c r="C465" s="5"/>
      <c r="D465" s="1"/>
      <c r="E465" s="5"/>
      <c r="G465" s="6"/>
      <c r="H465" s="1"/>
    </row>
    <row r="466" spans="2:8" x14ac:dyDescent="0.35">
      <c r="B466" s="5"/>
      <c r="C466" s="5"/>
      <c r="D466" s="1"/>
      <c r="E466" s="5"/>
      <c r="G466" s="6"/>
      <c r="H466" s="1"/>
    </row>
    <row r="467" spans="2:8" x14ac:dyDescent="0.35">
      <c r="B467" s="5"/>
      <c r="C467" s="5"/>
      <c r="D467" s="1"/>
      <c r="E467" s="5"/>
      <c r="G467" s="6"/>
      <c r="H467" s="1"/>
    </row>
    <row r="468" spans="2:8" x14ac:dyDescent="0.35">
      <c r="B468" s="5"/>
      <c r="C468" s="5"/>
      <c r="D468" s="1"/>
      <c r="E468" s="5"/>
      <c r="G468" s="6"/>
      <c r="H468" s="1"/>
    </row>
    <row r="469" spans="2:8" x14ac:dyDescent="0.35">
      <c r="B469" s="5"/>
      <c r="C469" s="5"/>
      <c r="D469" s="1"/>
      <c r="E469" s="5"/>
      <c r="G469" s="6"/>
      <c r="H469" s="1"/>
    </row>
    <row r="470" spans="2:8" x14ac:dyDescent="0.35">
      <c r="B470" s="5"/>
      <c r="C470" s="5"/>
      <c r="D470" s="1"/>
      <c r="E470" s="5"/>
      <c r="G470" s="6"/>
      <c r="H470" s="1"/>
    </row>
    <row r="471" spans="2:8" x14ac:dyDescent="0.35">
      <c r="B471" s="5"/>
      <c r="C471" s="5"/>
      <c r="D471" s="1"/>
      <c r="E471" s="5"/>
      <c r="G471" s="6"/>
      <c r="H471" s="1"/>
    </row>
    <row r="472" spans="2:8" x14ac:dyDescent="0.35">
      <c r="B472" s="5"/>
      <c r="C472" s="5"/>
      <c r="D472" s="1"/>
      <c r="E472" s="5"/>
      <c r="G472" s="6"/>
      <c r="H472" s="1"/>
    </row>
    <row r="473" spans="2:8" x14ac:dyDescent="0.35">
      <c r="B473" s="5"/>
      <c r="C473" s="5"/>
      <c r="D473" s="1"/>
      <c r="E473" s="5"/>
      <c r="G473" s="6"/>
      <c r="H473" s="1"/>
    </row>
    <row r="474" spans="2:8" x14ac:dyDescent="0.35">
      <c r="B474" s="5"/>
      <c r="C474" s="5"/>
      <c r="D474" s="1"/>
      <c r="E474" s="5"/>
      <c r="G474" s="6"/>
      <c r="H474" s="1"/>
    </row>
    <row r="475" spans="2:8" x14ac:dyDescent="0.35">
      <c r="B475" s="5"/>
      <c r="C475" s="5"/>
      <c r="D475" s="1"/>
      <c r="E475" s="5"/>
      <c r="G475" s="6"/>
      <c r="H475" s="1"/>
    </row>
    <row r="476" spans="2:8" x14ac:dyDescent="0.35">
      <c r="B476" s="5"/>
      <c r="C476" s="5"/>
      <c r="D476" s="1"/>
      <c r="E476" s="5"/>
      <c r="G476" s="6"/>
      <c r="H476" s="1"/>
    </row>
    <row r="477" spans="2:8" x14ac:dyDescent="0.35">
      <c r="B477" s="5"/>
      <c r="C477" s="5"/>
      <c r="D477" s="1"/>
      <c r="E477" s="5"/>
      <c r="G477" s="6"/>
      <c r="H477" s="1"/>
    </row>
    <row r="478" spans="2:8" x14ac:dyDescent="0.35">
      <c r="B478" s="5"/>
      <c r="C478" s="5"/>
      <c r="D478" s="1"/>
      <c r="E478" s="5"/>
      <c r="G478" s="6"/>
      <c r="H478" s="1"/>
    </row>
    <row r="479" spans="2:8" x14ac:dyDescent="0.35">
      <c r="B479" s="5"/>
      <c r="C479" s="5"/>
      <c r="D479" s="1"/>
      <c r="E479" s="5"/>
      <c r="G479" s="6"/>
      <c r="H479" s="1"/>
    </row>
    <row r="480" spans="2:8" x14ac:dyDescent="0.35">
      <c r="B480" s="5"/>
      <c r="C480" s="5"/>
      <c r="D480" s="1"/>
      <c r="E480" s="5"/>
      <c r="G480" s="6"/>
      <c r="H480" s="1"/>
    </row>
    <row r="481" spans="2:8" x14ac:dyDescent="0.35">
      <c r="B481" s="5"/>
      <c r="C481" s="5"/>
      <c r="D481" s="1"/>
      <c r="E481" s="5"/>
      <c r="G481" s="6"/>
      <c r="H481" s="1"/>
    </row>
    <row r="482" spans="2:8" x14ac:dyDescent="0.35">
      <c r="B482" s="5"/>
      <c r="C482" s="5"/>
      <c r="D482" s="1"/>
      <c r="E482" s="5"/>
      <c r="G482" s="6"/>
      <c r="H482" s="1"/>
    </row>
    <row r="483" spans="2:8" x14ac:dyDescent="0.35">
      <c r="B483" s="5"/>
      <c r="C483" s="5"/>
      <c r="D483" s="1"/>
      <c r="E483" s="5"/>
      <c r="G483" s="6"/>
      <c r="H483" s="1"/>
    </row>
    <row r="484" spans="2:8" x14ac:dyDescent="0.35">
      <c r="B484" s="5"/>
      <c r="C484" s="5"/>
      <c r="D484" s="1"/>
      <c r="E484" s="5"/>
      <c r="G484" s="6"/>
      <c r="H484" s="1"/>
    </row>
    <row r="485" spans="2:8" x14ac:dyDescent="0.35">
      <c r="B485" s="5"/>
      <c r="C485" s="5"/>
      <c r="D485" s="1"/>
      <c r="E485" s="5"/>
      <c r="G485" s="6"/>
      <c r="H485" s="1"/>
    </row>
    <row r="486" spans="2:8" x14ac:dyDescent="0.35">
      <c r="B486" s="5"/>
      <c r="C486" s="5"/>
      <c r="D486" s="1"/>
      <c r="E486" s="5"/>
      <c r="G486" s="6"/>
      <c r="H486" s="1"/>
    </row>
    <row r="487" spans="2:8" x14ac:dyDescent="0.35">
      <c r="B487" s="5"/>
      <c r="C487" s="5"/>
      <c r="D487" s="1"/>
      <c r="E487" s="5"/>
      <c r="G487" s="6"/>
      <c r="H487" s="1"/>
    </row>
    <row r="488" spans="2:8" x14ac:dyDescent="0.35">
      <c r="B488" s="5"/>
      <c r="C488" s="5"/>
      <c r="D488" s="1"/>
      <c r="E488" s="5"/>
      <c r="G488" s="6"/>
      <c r="H488" s="1"/>
    </row>
    <row r="489" spans="2:8" x14ac:dyDescent="0.35">
      <c r="B489" s="5"/>
      <c r="C489" s="5"/>
      <c r="D489" s="1"/>
      <c r="E489" s="5"/>
      <c r="G489" s="6"/>
      <c r="H489" s="1"/>
    </row>
    <row r="490" spans="2:8" x14ac:dyDescent="0.35">
      <c r="B490" s="5"/>
      <c r="C490" s="5"/>
      <c r="D490" s="1"/>
      <c r="E490" s="5"/>
      <c r="G490" s="6"/>
      <c r="H490" s="1"/>
    </row>
    <row r="491" spans="2:8" x14ac:dyDescent="0.35">
      <c r="B491" s="5"/>
      <c r="C491" s="5"/>
      <c r="D491" s="1"/>
      <c r="E491" s="5"/>
      <c r="G491" s="6"/>
      <c r="H491" s="1"/>
    </row>
    <row r="492" spans="2:8" x14ac:dyDescent="0.35">
      <c r="B492" s="5"/>
      <c r="C492" s="5"/>
      <c r="D492" s="1"/>
      <c r="E492" s="5"/>
      <c r="G492" s="6"/>
      <c r="H492" s="1"/>
    </row>
    <row r="493" spans="2:8" x14ac:dyDescent="0.35">
      <c r="B493" s="5"/>
      <c r="C493" s="5"/>
      <c r="D493" s="1"/>
      <c r="E493" s="5"/>
      <c r="G493" s="6"/>
      <c r="H493" s="1"/>
    </row>
    <row r="494" spans="2:8" x14ac:dyDescent="0.35">
      <c r="B494" s="5"/>
      <c r="C494" s="5"/>
      <c r="D494" s="1"/>
      <c r="E494" s="5"/>
      <c r="G494" s="6"/>
      <c r="H494" s="1"/>
    </row>
    <row r="495" spans="2:8" x14ac:dyDescent="0.35">
      <c r="B495" s="5"/>
      <c r="C495" s="5"/>
      <c r="D495" s="1"/>
      <c r="E495" s="5"/>
      <c r="G495" s="6"/>
      <c r="H495" s="1"/>
    </row>
    <row r="496" spans="2:8" x14ac:dyDescent="0.35">
      <c r="B496" s="5"/>
      <c r="C496" s="5"/>
      <c r="D496" s="1"/>
      <c r="E496" s="5"/>
      <c r="G496" s="6"/>
      <c r="H496" s="1"/>
    </row>
    <row r="497" spans="2:8" x14ac:dyDescent="0.35">
      <c r="B497" s="5"/>
      <c r="C497" s="5"/>
      <c r="D497" s="1"/>
      <c r="E497" s="5"/>
      <c r="G497" s="6"/>
      <c r="H497" s="1"/>
    </row>
    <row r="498" spans="2:8" x14ac:dyDescent="0.35">
      <c r="B498" s="5"/>
      <c r="C498" s="5"/>
      <c r="D498" s="1"/>
      <c r="E498" s="5"/>
      <c r="G498" s="6"/>
      <c r="H498" s="1"/>
    </row>
    <row r="499" spans="2:8" x14ac:dyDescent="0.35">
      <c r="B499" s="5"/>
      <c r="C499" s="5"/>
      <c r="D499" s="1"/>
      <c r="E499" s="5"/>
      <c r="G499" s="6"/>
      <c r="H499" s="1"/>
    </row>
    <row r="500" spans="2:8" x14ac:dyDescent="0.35">
      <c r="B500" s="5"/>
      <c r="C500" s="5"/>
      <c r="D500" s="1"/>
      <c r="E500" s="5"/>
      <c r="G500" s="6"/>
      <c r="H500" s="1"/>
    </row>
    <row r="501" spans="2:8" x14ac:dyDescent="0.35">
      <c r="B501" s="5"/>
      <c r="C501" s="5"/>
      <c r="D501" s="1"/>
      <c r="E501" s="5"/>
      <c r="G501" s="6"/>
      <c r="H501" s="1"/>
    </row>
    <row r="502" spans="2:8" x14ac:dyDescent="0.35">
      <c r="B502" s="5"/>
      <c r="C502" s="5"/>
      <c r="D502" s="1"/>
      <c r="E502" s="5"/>
      <c r="G502" s="6"/>
      <c r="H502" s="1"/>
    </row>
    <row r="503" spans="2:8" x14ac:dyDescent="0.35">
      <c r="B503" s="5"/>
      <c r="C503" s="5"/>
      <c r="D503" s="1"/>
      <c r="E503" s="5"/>
      <c r="G503" s="6"/>
      <c r="H503" s="1"/>
    </row>
    <row r="504" spans="2:8" x14ac:dyDescent="0.35">
      <c r="B504" s="5"/>
      <c r="C504" s="5"/>
      <c r="D504" s="1"/>
      <c r="E504" s="5"/>
      <c r="G504" s="6"/>
      <c r="H504" s="1"/>
    </row>
    <row r="505" spans="2:8" x14ac:dyDescent="0.35">
      <c r="B505" s="5"/>
      <c r="C505" s="5"/>
      <c r="D505" s="1"/>
      <c r="E505" s="5"/>
      <c r="G505" s="6"/>
      <c r="H505" s="1"/>
    </row>
    <row r="506" spans="2:8" x14ac:dyDescent="0.35">
      <c r="B506" s="5"/>
      <c r="C506" s="5"/>
      <c r="D506" s="1"/>
      <c r="E506" s="5"/>
      <c r="G506" s="6"/>
      <c r="H506" s="1"/>
    </row>
    <row r="507" spans="2:8" x14ac:dyDescent="0.35">
      <c r="B507" s="5"/>
      <c r="C507" s="5"/>
      <c r="D507" s="1"/>
      <c r="E507" s="5"/>
      <c r="G507" s="6"/>
      <c r="H507" s="1"/>
    </row>
    <row r="508" spans="2:8" x14ac:dyDescent="0.35">
      <c r="B508" s="5"/>
      <c r="C508" s="5"/>
      <c r="D508" s="1"/>
      <c r="E508" s="5"/>
      <c r="G508" s="6"/>
      <c r="H508" s="1"/>
    </row>
    <row r="509" spans="2:8" x14ac:dyDescent="0.35">
      <c r="B509" s="5"/>
      <c r="C509" s="5"/>
      <c r="D509" s="1"/>
      <c r="E509" s="5"/>
      <c r="G509" s="6"/>
      <c r="H509" s="1"/>
    </row>
    <row r="510" spans="2:8" x14ac:dyDescent="0.35">
      <c r="B510" s="5"/>
      <c r="C510" s="5"/>
      <c r="D510" s="1"/>
      <c r="E510" s="5"/>
      <c r="G510" s="6"/>
      <c r="H510" s="1"/>
    </row>
    <row r="511" spans="2:8" x14ac:dyDescent="0.35">
      <c r="B511" s="5"/>
      <c r="C511" s="5"/>
      <c r="D511" s="1"/>
      <c r="E511" s="5"/>
      <c r="G511" s="6"/>
      <c r="H511" s="1"/>
    </row>
    <row r="512" spans="2:8" x14ac:dyDescent="0.35">
      <c r="B512" s="5"/>
      <c r="C512" s="5"/>
      <c r="D512" s="1"/>
      <c r="E512" s="5"/>
      <c r="G512" s="6"/>
      <c r="H512" s="1"/>
    </row>
    <row r="513" spans="2:8" x14ac:dyDescent="0.35">
      <c r="B513" s="5"/>
      <c r="C513" s="5"/>
      <c r="D513" s="1"/>
      <c r="E513" s="5"/>
      <c r="G513" s="6"/>
      <c r="H513" s="1"/>
    </row>
    <row r="514" spans="2:8" x14ac:dyDescent="0.35">
      <c r="B514" s="5"/>
      <c r="C514" s="5"/>
      <c r="D514" s="1"/>
      <c r="E514" s="5"/>
      <c r="G514" s="6"/>
      <c r="H514" s="1"/>
    </row>
    <row r="515" spans="2:8" x14ac:dyDescent="0.35">
      <c r="B515" s="5"/>
      <c r="C515" s="5"/>
      <c r="D515" s="1"/>
      <c r="E515" s="5"/>
      <c r="G515" s="6"/>
      <c r="H515" s="1"/>
    </row>
    <row r="516" spans="2:8" x14ac:dyDescent="0.35">
      <c r="B516" s="5"/>
      <c r="C516" s="5"/>
      <c r="D516" s="1"/>
      <c r="E516" s="5"/>
      <c r="G516" s="6"/>
      <c r="H516" s="1"/>
    </row>
    <row r="517" spans="2:8" x14ac:dyDescent="0.35">
      <c r="B517" s="5"/>
      <c r="C517" s="5"/>
      <c r="D517" s="1"/>
      <c r="E517" s="5"/>
      <c r="G517" s="6"/>
      <c r="H517" s="1"/>
    </row>
    <row r="518" spans="2:8" x14ac:dyDescent="0.35">
      <c r="B518" s="5"/>
      <c r="C518" s="5"/>
      <c r="D518" s="1"/>
      <c r="E518" s="5"/>
      <c r="G518" s="6"/>
      <c r="H518" s="1"/>
    </row>
    <row r="519" spans="2:8" x14ac:dyDescent="0.35">
      <c r="B519" s="5"/>
      <c r="C519" s="5"/>
      <c r="D519" s="1"/>
      <c r="E519" s="5"/>
      <c r="G519" s="6"/>
      <c r="H519" s="1"/>
    </row>
    <row r="520" spans="2:8" x14ac:dyDescent="0.35">
      <c r="B520" s="5"/>
      <c r="C520" s="5"/>
      <c r="D520" s="1"/>
      <c r="E520" s="5"/>
      <c r="G520" s="6"/>
      <c r="H520" s="1"/>
    </row>
    <row r="521" spans="2:8" x14ac:dyDescent="0.35">
      <c r="B521" s="5"/>
      <c r="C521" s="5"/>
      <c r="D521" s="1"/>
      <c r="E521" s="5"/>
      <c r="G521" s="6"/>
      <c r="H521" s="1"/>
    </row>
    <row r="522" spans="2:8" x14ac:dyDescent="0.35">
      <c r="B522" s="5"/>
      <c r="C522" s="5"/>
      <c r="D522" s="1"/>
      <c r="E522" s="5"/>
      <c r="G522" s="6"/>
      <c r="H522" s="1"/>
    </row>
    <row r="523" spans="2:8" x14ac:dyDescent="0.35">
      <c r="B523" s="5"/>
      <c r="C523" s="5"/>
      <c r="D523" s="1"/>
      <c r="E523" s="5"/>
      <c r="G523" s="6"/>
      <c r="H523" s="1"/>
    </row>
    <row r="524" spans="2:8" x14ac:dyDescent="0.35">
      <c r="B524" s="5"/>
      <c r="C524" s="5"/>
      <c r="D524" s="1"/>
      <c r="E524" s="5"/>
      <c r="G524" s="6"/>
      <c r="H524" s="1"/>
    </row>
    <row r="525" spans="2:8" x14ac:dyDescent="0.35">
      <c r="B525" s="5"/>
      <c r="C525" s="5"/>
      <c r="D525" s="1"/>
      <c r="E525" s="5"/>
      <c r="G525" s="6"/>
      <c r="H525" s="1"/>
    </row>
    <row r="526" spans="2:8" x14ac:dyDescent="0.35">
      <c r="B526" s="5"/>
      <c r="C526" s="5"/>
      <c r="D526" s="1"/>
      <c r="E526" s="5"/>
      <c r="G526" s="6"/>
      <c r="H526" s="1"/>
    </row>
    <row r="527" spans="2:8" x14ac:dyDescent="0.35">
      <c r="B527" s="5"/>
      <c r="C527" s="5"/>
      <c r="D527" s="1"/>
      <c r="E527" s="5"/>
      <c r="G527" s="6"/>
      <c r="H527" s="1"/>
    </row>
    <row r="528" spans="2:8" x14ac:dyDescent="0.35">
      <c r="B528" s="5"/>
      <c r="C528" s="5"/>
      <c r="D528" s="1"/>
      <c r="E528" s="5"/>
      <c r="G528" s="6"/>
      <c r="H528" s="1"/>
    </row>
    <row r="529" spans="2:8" x14ac:dyDescent="0.35">
      <c r="B529" s="5"/>
      <c r="C529" s="5"/>
      <c r="D529" s="1"/>
      <c r="E529" s="5"/>
      <c r="G529" s="6"/>
      <c r="H529" s="1"/>
    </row>
    <row r="530" spans="2:8" x14ac:dyDescent="0.35">
      <c r="B530" s="5"/>
      <c r="C530" s="5"/>
      <c r="D530" s="1"/>
      <c r="E530" s="5"/>
      <c r="G530" s="6"/>
      <c r="H530" s="1"/>
    </row>
    <row r="531" spans="2:8" x14ac:dyDescent="0.35">
      <c r="B531" s="5"/>
      <c r="C531" s="5"/>
      <c r="D531" s="1"/>
      <c r="E531" s="5"/>
      <c r="G531" s="6"/>
      <c r="H531" s="1"/>
    </row>
    <row r="532" spans="2:8" x14ac:dyDescent="0.35">
      <c r="B532" s="5"/>
      <c r="C532" s="5"/>
      <c r="D532" s="1"/>
      <c r="E532" s="5"/>
      <c r="G532" s="6"/>
      <c r="H532" s="1"/>
    </row>
    <row r="533" spans="2:8" x14ac:dyDescent="0.35">
      <c r="B533" s="5"/>
      <c r="C533" s="5"/>
      <c r="D533" s="1"/>
      <c r="E533" s="5"/>
      <c r="G533" s="6"/>
      <c r="H533" s="1"/>
    </row>
    <row r="534" spans="2:8" x14ac:dyDescent="0.35">
      <c r="B534" s="5"/>
      <c r="C534" s="5"/>
      <c r="D534" s="1"/>
      <c r="E534" s="5"/>
      <c r="G534" s="6"/>
      <c r="H534" s="1"/>
    </row>
    <row r="535" spans="2:8" x14ac:dyDescent="0.35">
      <c r="B535" s="5"/>
      <c r="C535" s="5"/>
      <c r="D535" s="1"/>
      <c r="E535" s="5"/>
      <c r="G535" s="6"/>
      <c r="H535" s="1"/>
    </row>
    <row r="536" spans="2:8" x14ac:dyDescent="0.35">
      <c r="B536" s="5"/>
      <c r="C536" s="5"/>
      <c r="D536" s="1"/>
      <c r="E536" s="5"/>
      <c r="G536" s="6"/>
      <c r="H536" s="1"/>
    </row>
    <row r="537" spans="2:8" x14ac:dyDescent="0.35">
      <c r="B537" s="5"/>
      <c r="C537" s="5"/>
      <c r="D537" s="1"/>
      <c r="E537" s="5"/>
      <c r="G537" s="6"/>
      <c r="H537" s="1"/>
    </row>
    <row r="538" spans="2:8" x14ac:dyDescent="0.35">
      <c r="B538" s="5"/>
      <c r="C538" s="5"/>
      <c r="D538" s="1"/>
      <c r="E538" s="5"/>
      <c r="G538" s="6"/>
      <c r="H538" s="1"/>
    </row>
    <row r="539" spans="2:8" x14ac:dyDescent="0.35">
      <c r="B539" s="5"/>
      <c r="C539" s="5"/>
      <c r="D539" s="1"/>
      <c r="E539" s="5"/>
      <c r="G539" s="6"/>
      <c r="H539" s="1"/>
    </row>
    <row r="540" spans="2:8" x14ac:dyDescent="0.35">
      <c r="B540" s="5"/>
      <c r="C540" s="5"/>
      <c r="D540" s="1"/>
      <c r="E540" s="5"/>
      <c r="G540" s="6"/>
      <c r="H540" s="1"/>
    </row>
    <row r="541" spans="2:8" x14ac:dyDescent="0.35">
      <c r="B541" s="5"/>
      <c r="C541" s="5"/>
      <c r="D541" s="1"/>
      <c r="E541" s="5"/>
      <c r="G541" s="6"/>
      <c r="H541" s="1"/>
    </row>
    <row r="542" spans="2:8" x14ac:dyDescent="0.35">
      <c r="B542" s="5"/>
      <c r="C542" s="5"/>
      <c r="D542" s="1"/>
      <c r="E542" s="5"/>
      <c r="G542" s="6"/>
      <c r="H542" s="1"/>
    </row>
    <row r="543" spans="2:8" x14ac:dyDescent="0.35">
      <c r="B543" s="5"/>
      <c r="C543" s="5"/>
      <c r="D543" s="1"/>
      <c r="E543" s="5"/>
      <c r="G543" s="6"/>
      <c r="H543" s="1"/>
    </row>
    <row r="544" spans="2:8" x14ac:dyDescent="0.35">
      <c r="B544" s="5"/>
      <c r="C544" s="5"/>
      <c r="D544" s="1"/>
      <c r="E544" s="5"/>
      <c r="G544" s="6"/>
      <c r="H544" s="1"/>
    </row>
    <row r="545" spans="2:8" x14ac:dyDescent="0.35">
      <c r="B545" s="5"/>
      <c r="C545" s="5"/>
      <c r="D545" s="1"/>
      <c r="E545" s="5"/>
      <c r="G545" s="6"/>
      <c r="H545" s="1"/>
    </row>
    <row r="546" spans="2:8" x14ac:dyDescent="0.35">
      <c r="B546" s="5"/>
      <c r="C546" s="5"/>
      <c r="D546" s="1"/>
      <c r="E546" s="5"/>
      <c r="G546" s="6"/>
      <c r="H546" s="1"/>
    </row>
    <row r="547" spans="2:8" x14ac:dyDescent="0.35">
      <c r="B547" s="5"/>
      <c r="C547" s="5"/>
      <c r="D547" s="1"/>
      <c r="E547" s="5"/>
      <c r="G547" s="6"/>
      <c r="H547" s="1"/>
    </row>
    <row r="548" spans="2:8" x14ac:dyDescent="0.35">
      <c r="B548" s="5"/>
      <c r="C548" s="5"/>
      <c r="D548" s="1"/>
      <c r="E548" s="5"/>
      <c r="G548" s="6"/>
      <c r="H548" s="1"/>
    </row>
    <row r="549" spans="2:8" x14ac:dyDescent="0.35">
      <c r="B549" s="5"/>
      <c r="C549" s="5"/>
      <c r="D549" s="1"/>
      <c r="E549" s="5"/>
      <c r="G549" s="6"/>
      <c r="H549" s="1"/>
    </row>
    <row r="550" spans="2:8" x14ac:dyDescent="0.35">
      <c r="B550" s="5"/>
      <c r="C550" s="5"/>
      <c r="D550" s="1"/>
      <c r="E550" s="5"/>
      <c r="G550" s="6"/>
      <c r="H550" s="1"/>
    </row>
    <row r="551" spans="2:8" x14ac:dyDescent="0.35">
      <c r="B551" s="5"/>
      <c r="C551" s="5"/>
      <c r="D551" s="1"/>
      <c r="E551" s="5"/>
      <c r="G551" s="6"/>
      <c r="H551" s="1"/>
    </row>
    <row r="552" spans="2:8" x14ac:dyDescent="0.35">
      <c r="B552" s="5"/>
      <c r="C552" s="5"/>
      <c r="D552" s="1"/>
      <c r="E552" s="5"/>
      <c r="G552" s="6"/>
      <c r="H552" s="1"/>
    </row>
    <row r="553" spans="2:8" x14ac:dyDescent="0.35">
      <c r="B553" s="5"/>
      <c r="C553" s="5"/>
      <c r="D553" s="1"/>
      <c r="E553" s="5"/>
      <c r="G553" s="6"/>
      <c r="H553" s="1"/>
    </row>
    <row r="554" spans="2:8" x14ac:dyDescent="0.35">
      <c r="B554" s="5"/>
      <c r="C554" s="5"/>
      <c r="D554" s="1"/>
      <c r="E554" s="5"/>
      <c r="G554" s="6"/>
      <c r="H554" s="1"/>
    </row>
    <row r="555" spans="2:8" x14ac:dyDescent="0.35">
      <c r="B555" s="5"/>
      <c r="C555" s="5"/>
      <c r="D555" s="1"/>
      <c r="E555" s="5"/>
      <c r="G555" s="6"/>
      <c r="H555" s="1"/>
    </row>
    <row r="556" spans="2:8" x14ac:dyDescent="0.35">
      <c r="B556" s="5"/>
      <c r="C556" s="5"/>
      <c r="D556" s="1"/>
      <c r="E556" s="5"/>
      <c r="G556" s="6"/>
      <c r="H556" s="1"/>
    </row>
    <row r="557" spans="2:8" x14ac:dyDescent="0.35">
      <c r="B557" s="5"/>
      <c r="C557" s="5"/>
      <c r="D557" s="1"/>
      <c r="E557" s="5"/>
      <c r="G557" s="6"/>
      <c r="H557" s="1"/>
    </row>
    <row r="558" spans="2:8" x14ac:dyDescent="0.35">
      <c r="B558" s="5"/>
      <c r="C558" s="5"/>
      <c r="D558" s="1"/>
      <c r="E558" s="5"/>
      <c r="G558" s="6"/>
      <c r="H558" s="1"/>
    </row>
    <row r="559" spans="2:8" x14ac:dyDescent="0.35">
      <c r="B559" s="5"/>
      <c r="C559" s="5"/>
      <c r="D559" s="1"/>
      <c r="E559" s="5"/>
      <c r="G559" s="6"/>
      <c r="H559" s="1"/>
    </row>
    <row r="560" spans="2:8" x14ac:dyDescent="0.35">
      <c r="B560" s="5"/>
      <c r="C560" s="5"/>
      <c r="D560" s="1"/>
      <c r="E560" s="5"/>
      <c r="G560" s="6"/>
      <c r="H560" s="1"/>
    </row>
    <row r="561" spans="2:8" x14ac:dyDescent="0.35">
      <c r="B561" s="5"/>
      <c r="C561" s="5"/>
      <c r="D561" s="1"/>
      <c r="E561" s="5"/>
      <c r="G561" s="6"/>
      <c r="H561" s="1"/>
    </row>
    <row r="562" spans="2:8" x14ac:dyDescent="0.35">
      <c r="B562" s="5"/>
      <c r="C562" s="5"/>
      <c r="D562" s="1"/>
      <c r="E562" s="5"/>
      <c r="G562" s="6"/>
      <c r="H562" s="1"/>
    </row>
    <row r="563" spans="2:8" x14ac:dyDescent="0.35">
      <c r="B563" s="5"/>
      <c r="C563" s="5"/>
      <c r="D563" s="1"/>
      <c r="E563" s="5"/>
      <c r="G563" s="6"/>
      <c r="H563" s="1"/>
    </row>
    <row r="564" spans="2:8" x14ac:dyDescent="0.35">
      <c r="B564" s="5"/>
      <c r="C564" s="5"/>
      <c r="D564" s="1"/>
      <c r="E564" s="5"/>
      <c r="G564" s="6"/>
      <c r="H564" s="1"/>
    </row>
    <row r="565" spans="2:8" x14ac:dyDescent="0.35">
      <c r="B565" s="5"/>
      <c r="C565" s="5"/>
      <c r="D565" s="1"/>
      <c r="E565" s="5"/>
      <c r="G565" s="6"/>
      <c r="H565" s="1"/>
    </row>
    <row r="566" spans="2:8" x14ac:dyDescent="0.35">
      <c r="B566" s="5"/>
      <c r="C566" s="5"/>
      <c r="D566" s="1"/>
      <c r="E566" s="5"/>
      <c r="G566" s="6"/>
      <c r="H566" s="1"/>
    </row>
    <row r="567" spans="2:8" x14ac:dyDescent="0.35">
      <c r="B567" s="5"/>
      <c r="C567" s="5"/>
      <c r="D567" s="1"/>
      <c r="E567" s="5"/>
      <c r="G567" s="6"/>
      <c r="H567" s="1"/>
    </row>
    <row r="568" spans="2:8" x14ac:dyDescent="0.35">
      <c r="B568" s="5"/>
      <c r="C568" s="5"/>
      <c r="D568" s="1"/>
      <c r="E568" s="5"/>
      <c r="G568" s="6"/>
      <c r="H568" s="1"/>
    </row>
    <row r="569" spans="2:8" x14ac:dyDescent="0.35">
      <c r="B569" s="5"/>
      <c r="C569" s="5"/>
      <c r="D569" s="1"/>
      <c r="E569" s="5"/>
      <c r="G569" s="6"/>
      <c r="H569" s="1"/>
    </row>
    <row r="570" spans="2:8" x14ac:dyDescent="0.35">
      <c r="B570" s="5"/>
      <c r="C570" s="5"/>
      <c r="D570" s="1"/>
      <c r="E570" s="5"/>
      <c r="G570" s="6"/>
      <c r="H570" s="1"/>
    </row>
    <row r="571" spans="2:8" x14ac:dyDescent="0.35">
      <c r="B571" s="5"/>
      <c r="C571" s="5"/>
      <c r="D571" s="1"/>
      <c r="E571" s="5"/>
      <c r="G571" s="6"/>
      <c r="H571" s="1"/>
    </row>
    <row r="572" spans="2:8" x14ac:dyDescent="0.35">
      <c r="B572" s="5"/>
      <c r="C572" s="5"/>
      <c r="D572" s="1"/>
      <c r="E572" s="5"/>
      <c r="G572" s="6"/>
      <c r="H572" s="1"/>
    </row>
    <row r="573" spans="2:8" x14ac:dyDescent="0.35">
      <c r="B573" s="5"/>
      <c r="C573" s="5"/>
      <c r="D573" s="1"/>
      <c r="E573" s="5"/>
      <c r="G573" s="6"/>
      <c r="H573" s="1"/>
    </row>
    <row r="574" spans="2:8" x14ac:dyDescent="0.35">
      <c r="B574" s="5"/>
      <c r="C574" s="5"/>
      <c r="D574" s="1"/>
      <c r="E574" s="5"/>
      <c r="G574" s="6"/>
      <c r="H574" s="1"/>
    </row>
    <row r="575" spans="2:8" x14ac:dyDescent="0.35">
      <c r="B575" s="5"/>
      <c r="C575" s="5"/>
      <c r="D575" s="1"/>
      <c r="E575" s="5"/>
      <c r="G575" s="6"/>
      <c r="H575" s="1"/>
    </row>
    <row r="576" spans="2:8" x14ac:dyDescent="0.35">
      <c r="B576" s="5"/>
      <c r="C576" s="5"/>
      <c r="D576" s="1"/>
      <c r="E576" s="5"/>
      <c r="G576" s="6"/>
      <c r="H576" s="1"/>
    </row>
    <row r="577" spans="2:8" x14ac:dyDescent="0.35">
      <c r="B577" s="5"/>
      <c r="C577" s="5"/>
      <c r="D577" s="1"/>
      <c r="E577" s="5"/>
      <c r="G577" s="6"/>
      <c r="H577" s="1"/>
    </row>
    <row r="578" spans="2:8" x14ac:dyDescent="0.35">
      <c r="B578" s="5"/>
      <c r="C578" s="5"/>
      <c r="D578" s="1"/>
      <c r="E578" s="5"/>
      <c r="G578" s="6"/>
      <c r="H578" s="1"/>
    </row>
    <row r="579" spans="2:8" x14ac:dyDescent="0.35">
      <c r="B579" s="5"/>
      <c r="C579" s="5"/>
      <c r="D579" s="1"/>
      <c r="E579" s="5"/>
      <c r="G579" s="6"/>
      <c r="H579" s="1"/>
    </row>
    <row r="580" spans="2:8" x14ac:dyDescent="0.35">
      <c r="B580" s="5"/>
      <c r="C580" s="5"/>
      <c r="D580" s="1"/>
      <c r="E580" s="5"/>
      <c r="G580" s="6"/>
      <c r="H580" s="1"/>
    </row>
    <row r="581" spans="2:8" x14ac:dyDescent="0.35">
      <c r="B581" s="5"/>
      <c r="C581" s="5"/>
      <c r="D581" s="1"/>
      <c r="E581" s="5"/>
      <c r="G581" s="6"/>
      <c r="H581" s="1"/>
    </row>
    <row r="582" spans="2:8" x14ac:dyDescent="0.35">
      <c r="B582" s="5"/>
      <c r="C582" s="5"/>
      <c r="D582" s="1"/>
      <c r="E582" s="5"/>
      <c r="G582" s="6"/>
      <c r="H582" s="1"/>
    </row>
    <row r="583" spans="2:8" x14ac:dyDescent="0.35">
      <c r="B583" s="5"/>
      <c r="C583" s="5"/>
      <c r="D583" s="1"/>
      <c r="E583" s="5"/>
      <c r="G583" s="6"/>
      <c r="H583" s="1"/>
    </row>
    <row r="584" spans="2:8" x14ac:dyDescent="0.35">
      <c r="B584" s="5"/>
      <c r="C584" s="5"/>
      <c r="D584" s="1"/>
      <c r="E584" s="5"/>
      <c r="G584" s="6"/>
      <c r="H584" s="1"/>
    </row>
  </sheetData>
  <autoFilter ref="A2:WVR2" xr:uid="{1428D849-4A40-4363-9953-3F7BB17A49E4}"/>
  <phoneticPr fontId="5" type="noConversion"/>
  <pageMargins left="0.51181102362204722" right="0.31496062992125984" top="0.35433070866141736" bottom="0.35433070866141736" header="0.31496062992125984" footer="0.31496062992125984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73CB-2B02-4849-966F-388D129C2017}">
  <dimension ref="A1:N594"/>
  <sheetViews>
    <sheetView workbookViewId="0">
      <selection activeCell="N93" sqref="N93"/>
    </sheetView>
  </sheetViews>
  <sheetFormatPr defaultRowHeight="14.5" x14ac:dyDescent="0.35"/>
  <cols>
    <col min="1" max="1" width="3.54296875" style="1" bestFit="1" customWidth="1"/>
    <col min="2" max="2" width="11.26953125" style="16" bestFit="1" customWidth="1"/>
    <col min="3" max="3" width="6.7265625" style="16" customWidth="1"/>
    <col min="4" max="4" width="22.26953125" style="17" customWidth="1"/>
    <col min="5" max="5" width="11.26953125" style="16" customWidth="1"/>
    <col min="6" max="6" width="13" style="1" customWidth="1"/>
    <col min="7" max="7" width="20.81640625" style="18" customWidth="1"/>
    <col min="8" max="8" width="9.1796875" hidden="1" customWidth="1"/>
    <col min="9" max="9" width="6.54296875" style="1" customWidth="1"/>
    <col min="10" max="10" width="15.1796875" style="1" bestFit="1" customWidth="1"/>
    <col min="11" max="11" width="13.453125" style="1" bestFit="1" customWidth="1"/>
    <col min="12" max="256" width="9.1796875" style="1"/>
    <col min="257" max="257" width="3.54296875" style="1" bestFit="1" customWidth="1"/>
    <col min="258" max="258" width="11.26953125" style="1" bestFit="1" customWidth="1"/>
    <col min="259" max="259" width="6.7265625" style="1" customWidth="1"/>
    <col min="260" max="260" width="22.26953125" style="1" customWidth="1"/>
    <col min="261" max="261" width="11.26953125" style="1" customWidth="1"/>
    <col min="262" max="262" width="19.1796875" style="1" customWidth="1"/>
    <col min="263" max="263" width="24" style="1" customWidth="1"/>
    <col min="264" max="264" width="19" style="1" bestFit="1" customWidth="1"/>
    <col min="265" max="265" width="9" style="1" bestFit="1" customWidth="1"/>
    <col min="266" max="266" width="15.1796875" style="1" bestFit="1" customWidth="1"/>
    <col min="267" max="512" width="9.1796875" style="1"/>
    <col min="513" max="513" width="3.54296875" style="1" bestFit="1" customWidth="1"/>
    <col min="514" max="514" width="11.26953125" style="1" bestFit="1" customWidth="1"/>
    <col min="515" max="515" width="6.7265625" style="1" customWidth="1"/>
    <col min="516" max="516" width="22.26953125" style="1" customWidth="1"/>
    <col min="517" max="517" width="11.26953125" style="1" customWidth="1"/>
    <col min="518" max="518" width="19.1796875" style="1" customWidth="1"/>
    <col min="519" max="519" width="24" style="1" customWidth="1"/>
    <col min="520" max="520" width="19" style="1" bestFit="1" customWidth="1"/>
    <col min="521" max="521" width="9" style="1" bestFit="1" customWidth="1"/>
    <col min="522" max="522" width="15.1796875" style="1" bestFit="1" customWidth="1"/>
    <col min="523" max="768" width="9.1796875" style="1"/>
    <col min="769" max="769" width="3.54296875" style="1" bestFit="1" customWidth="1"/>
    <col min="770" max="770" width="11.26953125" style="1" bestFit="1" customWidth="1"/>
    <col min="771" max="771" width="6.7265625" style="1" customWidth="1"/>
    <col min="772" max="772" width="22.26953125" style="1" customWidth="1"/>
    <col min="773" max="773" width="11.26953125" style="1" customWidth="1"/>
    <col min="774" max="774" width="19.1796875" style="1" customWidth="1"/>
    <col min="775" max="775" width="24" style="1" customWidth="1"/>
    <col min="776" max="776" width="19" style="1" bestFit="1" customWidth="1"/>
    <col min="777" max="777" width="9" style="1" bestFit="1" customWidth="1"/>
    <col min="778" max="778" width="15.1796875" style="1" bestFit="1" customWidth="1"/>
    <col min="779" max="1024" width="9.1796875" style="1"/>
    <col min="1025" max="1025" width="3.54296875" style="1" bestFit="1" customWidth="1"/>
    <col min="1026" max="1026" width="11.26953125" style="1" bestFit="1" customWidth="1"/>
    <col min="1027" max="1027" width="6.7265625" style="1" customWidth="1"/>
    <col min="1028" max="1028" width="22.26953125" style="1" customWidth="1"/>
    <col min="1029" max="1029" width="11.26953125" style="1" customWidth="1"/>
    <col min="1030" max="1030" width="19.1796875" style="1" customWidth="1"/>
    <col min="1031" max="1031" width="24" style="1" customWidth="1"/>
    <col min="1032" max="1032" width="19" style="1" bestFit="1" customWidth="1"/>
    <col min="1033" max="1033" width="9" style="1" bestFit="1" customWidth="1"/>
    <col min="1034" max="1034" width="15.1796875" style="1" bestFit="1" customWidth="1"/>
    <col min="1035" max="1280" width="9.1796875" style="1"/>
    <col min="1281" max="1281" width="3.54296875" style="1" bestFit="1" customWidth="1"/>
    <col min="1282" max="1282" width="11.26953125" style="1" bestFit="1" customWidth="1"/>
    <col min="1283" max="1283" width="6.7265625" style="1" customWidth="1"/>
    <col min="1284" max="1284" width="22.26953125" style="1" customWidth="1"/>
    <col min="1285" max="1285" width="11.26953125" style="1" customWidth="1"/>
    <col min="1286" max="1286" width="19.1796875" style="1" customWidth="1"/>
    <col min="1287" max="1287" width="24" style="1" customWidth="1"/>
    <col min="1288" max="1288" width="19" style="1" bestFit="1" customWidth="1"/>
    <col min="1289" max="1289" width="9" style="1" bestFit="1" customWidth="1"/>
    <col min="1290" max="1290" width="15.1796875" style="1" bestFit="1" customWidth="1"/>
    <col min="1291" max="1536" width="9.1796875" style="1"/>
    <col min="1537" max="1537" width="3.54296875" style="1" bestFit="1" customWidth="1"/>
    <col min="1538" max="1538" width="11.26953125" style="1" bestFit="1" customWidth="1"/>
    <col min="1539" max="1539" width="6.7265625" style="1" customWidth="1"/>
    <col min="1540" max="1540" width="22.26953125" style="1" customWidth="1"/>
    <col min="1541" max="1541" width="11.26953125" style="1" customWidth="1"/>
    <col min="1542" max="1542" width="19.1796875" style="1" customWidth="1"/>
    <col min="1543" max="1543" width="24" style="1" customWidth="1"/>
    <col min="1544" max="1544" width="19" style="1" bestFit="1" customWidth="1"/>
    <col min="1545" max="1545" width="9" style="1" bestFit="1" customWidth="1"/>
    <col min="1546" max="1546" width="15.1796875" style="1" bestFit="1" customWidth="1"/>
    <col min="1547" max="1792" width="9.1796875" style="1"/>
    <col min="1793" max="1793" width="3.54296875" style="1" bestFit="1" customWidth="1"/>
    <col min="1794" max="1794" width="11.26953125" style="1" bestFit="1" customWidth="1"/>
    <col min="1795" max="1795" width="6.7265625" style="1" customWidth="1"/>
    <col min="1796" max="1796" width="22.26953125" style="1" customWidth="1"/>
    <col min="1797" max="1797" width="11.26953125" style="1" customWidth="1"/>
    <col min="1798" max="1798" width="19.1796875" style="1" customWidth="1"/>
    <col min="1799" max="1799" width="24" style="1" customWidth="1"/>
    <col min="1800" max="1800" width="19" style="1" bestFit="1" customWidth="1"/>
    <col min="1801" max="1801" width="9" style="1" bestFit="1" customWidth="1"/>
    <col min="1802" max="1802" width="15.1796875" style="1" bestFit="1" customWidth="1"/>
    <col min="1803" max="2048" width="9.1796875" style="1"/>
    <col min="2049" max="2049" width="3.54296875" style="1" bestFit="1" customWidth="1"/>
    <col min="2050" max="2050" width="11.26953125" style="1" bestFit="1" customWidth="1"/>
    <col min="2051" max="2051" width="6.7265625" style="1" customWidth="1"/>
    <col min="2052" max="2052" width="22.26953125" style="1" customWidth="1"/>
    <col min="2053" max="2053" width="11.26953125" style="1" customWidth="1"/>
    <col min="2054" max="2054" width="19.1796875" style="1" customWidth="1"/>
    <col min="2055" max="2055" width="24" style="1" customWidth="1"/>
    <col min="2056" max="2056" width="19" style="1" bestFit="1" customWidth="1"/>
    <col min="2057" max="2057" width="9" style="1" bestFit="1" customWidth="1"/>
    <col min="2058" max="2058" width="15.1796875" style="1" bestFit="1" customWidth="1"/>
    <col min="2059" max="2304" width="9.1796875" style="1"/>
    <col min="2305" max="2305" width="3.54296875" style="1" bestFit="1" customWidth="1"/>
    <col min="2306" max="2306" width="11.26953125" style="1" bestFit="1" customWidth="1"/>
    <col min="2307" max="2307" width="6.7265625" style="1" customWidth="1"/>
    <col min="2308" max="2308" width="22.26953125" style="1" customWidth="1"/>
    <col min="2309" max="2309" width="11.26953125" style="1" customWidth="1"/>
    <col min="2310" max="2310" width="19.1796875" style="1" customWidth="1"/>
    <col min="2311" max="2311" width="24" style="1" customWidth="1"/>
    <col min="2312" max="2312" width="19" style="1" bestFit="1" customWidth="1"/>
    <col min="2313" max="2313" width="9" style="1" bestFit="1" customWidth="1"/>
    <col min="2314" max="2314" width="15.1796875" style="1" bestFit="1" customWidth="1"/>
    <col min="2315" max="2560" width="9.1796875" style="1"/>
    <col min="2561" max="2561" width="3.54296875" style="1" bestFit="1" customWidth="1"/>
    <col min="2562" max="2562" width="11.26953125" style="1" bestFit="1" customWidth="1"/>
    <col min="2563" max="2563" width="6.7265625" style="1" customWidth="1"/>
    <col min="2564" max="2564" width="22.26953125" style="1" customWidth="1"/>
    <col min="2565" max="2565" width="11.26953125" style="1" customWidth="1"/>
    <col min="2566" max="2566" width="19.1796875" style="1" customWidth="1"/>
    <col min="2567" max="2567" width="24" style="1" customWidth="1"/>
    <col min="2568" max="2568" width="19" style="1" bestFit="1" customWidth="1"/>
    <col min="2569" max="2569" width="9" style="1" bestFit="1" customWidth="1"/>
    <col min="2570" max="2570" width="15.1796875" style="1" bestFit="1" customWidth="1"/>
    <col min="2571" max="2816" width="9.1796875" style="1"/>
    <col min="2817" max="2817" width="3.54296875" style="1" bestFit="1" customWidth="1"/>
    <col min="2818" max="2818" width="11.26953125" style="1" bestFit="1" customWidth="1"/>
    <col min="2819" max="2819" width="6.7265625" style="1" customWidth="1"/>
    <col min="2820" max="2820" width="22.26953125" style="1" customWidth="1"/>
    <col min="2821" max="2821" width="11.26953125" style="1" customWidth="1"/>
    <col min="2822" max="2822" width="19.1796875" style="1" customWidth="1"/>
    <col min="2823" max="2823" width="24" style="1" customWidth="1"/>
    <col min="2824" max="2824" width="19" style="1" bestFit="1" customWidth="1"/>
    <col min="2825" max="2825" width="9" style="1" bestFit="1" customWidth="1"/>
    <col min="2826" max="2826" width="15.1796875" style="1" bestFit="1" customWidth="1"/>
    <col min="2827" max="3072" width="9.1796875" style="1"/>
    <col min="3073" max="3073" width="3.54296875" style="1" bestFit="1" customWidth="1"/>
    <col min="3074" max="3074" width="11.26953125" style="1" bestFit="1" customWidth="1"/>
    <col min="3075" max="3075" width="6.7265625" style="1" customWidth="1"/>
    <col min="3076" max="3076" width="22.26953125" style="1" customWidth="1"/>
    <col min="3077" max="3077" width="11.26953125" style="1" customWidth="1"/>
    <col min="3078" max="3078" width="19.1796875" style="1" customWidth="1"/>
    <col min="3079" max="3079" width="24" style="1" customWidth="1"/>
    <col min="3080" max="3080" width="19" style="1" bestFit="1" customWidth="1"/>
    <col min="3081" max="3081" width="9" style="1" bestFit="1" customWidth="1"/>
    <col min="3082" max="3082" width="15.1796875" style="1" bestFit="1" customWidth="1"/>
    <col min="3083" max="3328" width="9.1796875" style="1"/>
    <col min="3329" max="3329" width="3.54296875" style="1" bestFit="1" customWidth="1"/>
    <col min="3330" max="3330" width="11.26953125" style="1" bestFit="1" customWidth="1"/>
    <col min="3331" max="3331" width="6.7265625" style="1" customWidth="1"/>
    <col min="3332" max="3332" width="22.26953125" style="1" customWidth="1"/>
    <col min="3333" max="3333" width="11.26953125" style="1" customWidth="1"/>
    <col min="3334" max="3334" width="19.1796875" style="1" customWidth="1"/>
    <col min="3335" max="3335" width="24" style="1" customWidth="1"/>
    <col min="3336" max="3336" width="19" style="1" bestFit="1" customWidth="1"/>
    <col min="3337" max="3337" width="9" style="1" bestFit="1" customWidth="1"/>
    <col min="3338" max="3338" width="15.1796875" style="1" bestFit="1" customWidth="1"/>
    <col min="3339" max="3584" width="9.1796875" style="1"/>
    <col min="3585" max="3585" width="3.54296875" style="1" bestFit="1" customWidth="1"/>
    <col min="3586" max="3586" width="11.26953125" style="1" bestFit="1" customWidth="1"/>
    <col min="3587" max="3587" width="6.7265625" style="1" customWidth="1"/>
    <col min="3588" max="3588" width="22.26953125" style="1" customWidth="1"/>
    <col min="3589" max="3589" width="11.26953125" style="1" customWidth="1"/>
    <col min="3590" max="3590" width="19.1796875" style="1" customWidth="1"/>
    <col min="3591" max="3591" width="24" style="1" customWidth="1"/>
    <col min="3592" max="3592" width="19" style="1" bestFit="1" customWidth="1"/>
    <col min="3593" max="3593" width="9" style="1" bestFit="1" customWidth="1"/>
    <col min="3594" max="3594" width="15.1796875" style="1" bestFit="1" customWidth="1"/>
    <col min="3595" max="3840" width="9.1796875" style="1"/>
    <col min="3841" max="3841" width="3.54296875" style="1" bestFit="1" customWidth="1"/>
    <col min="3842" max="3842" width="11.26953125" style="1" bestFit="1" customWidth="1"/>
    <col min="3843" max="3843" width="6.7265625" style="1" customWidth="1"/>
    <col min="3844" max="3844" width="22.26953125" style="1" customWidth="1"/>
    <col min="3845" max="3845" width="11.26953125" style="1" customWidth="1"/>
    <col min="3846" max="3846" width="19.1796875" style="1" customWidth="1"/>
    <col min="3847" max="3847" width="24" style="1" customWidth="1"/>
    <col min="3848" max="3848" width="19" style="1" bestFit="1" customWidth="1"/>
    <col min="3849" max="3849" width="9" style="1" bestFit="1" customWidth="1"/>
    <col min="3850" max="3850" width="15.1796875" style="1" bestFit="1" customWidth="1"/>
    <col min="3851" max="4096" width="9.1796875" style="1"/>
    <col min="4097" max="4097" width="3.54296875" style="1" bestFit="1" customWidth="1"/>
    <col min="4098" max="4098" width="11.26953125" style="1" bestFit="1" customWidth="1"/>
    <col min="4099" max="4099" width="6.7265625" style="1" customWidth="1"/>
    <col min="4100" max="4100" width="22.26953125" style="1" customWidth="1"/>
    <col min="4101" max="4101" width="11.26953125" style="1" customWidth="1"/>
    <col min="4102" max="4102" width="19.1796875" style="1" customWidth="1"/>
    <col min="4103" max="4103" width="24" style="1" customWidth="1"/>
    <col min="4104" max="4104" width="19" style="1" bestFit="1" customWidth="1"/>
    <col min="4105" max="4105" width="9" style="1" bestFit="1" customWidth="1"/>
    <col min="4106" max="4106" width="15.1796875" style="1" bestFit="1" customWidth="1"/>
    <col min="4107" max="4352" width="9.1796875" style="1"/>
    <col min="4353" max="4353" width="3.54296875" style="1" bestFit="1" customWidth="1"/>
    <col min="4354" max="4354" width="11.26953125" style="1" bestFit="1" customWidth="1"/>
    <col min="4355" max="4355" width="6.7265625" style="1" customWidth="1"/>
    <col min="4356" max="4356" width="22.26953125" style="1" customWidth="1"/>
    <col min="4357" max="4357" width="11.26953125" style="1" customWidth="1"/>
    <col min="4358" max="4358" width="19.1796875" style="1" customWidth="1"/>
    <col min="4359" max="4359" width="24" style="1" customWidth="1"/>
    <col min="4360" max="4360" width="19" style="1" bestFit="1" customWidth="1"/>
    <col min="4361" max="4361" width="9" style="1" bestFit="1" customWidth="1"/>
    <col min="4362" max="4362" width="15.1796875" style="1" bestFit="1" customWidth="1"/>
    <col min="4363" max="4608" width="9.1796875" style="1"/>
    <col min="4609" max="4609" width="3.54296875" style="1" bestFit="1" customWidth="1"/>
    <col min="4610" max="4610" width="11.26953125" style="1" bestFit="1" customWidth="1"/>
    <col min="4611" max="4611" width="6.7265625" style="1" customWidth="1"/>
    <col min="4612" max="4612" width="22.26953125" style="1" customWidth="1"/>
    <col min="4613" max="4613" width="11.26953125" style="1" customWidth="1"/>
    <col min="4614" max="4614" width="19.1796875" style="1" customWidth="1"/>
    <col min="4615" max="4615" width="24" style="1" customWidth="1"/>
    <col min="4616" max="4616" width="19" style="1" bestFit="1" customWidth="1"/>
    <col min="4617" max="4617" width="9" style="1" bestFit="1" customWidth="1"/>
    <col min="4618" max="4618" width="15.1796875" style="1" bestFit="1" customWidth="1"/>
    <col min="4619" max="4864" width="9.1796875" style="1"/>
    <col min="4865" max="4865" width="3.54296875" style="1" bestFit="1" customWidth="1"/>
    <col min="4866" max="4866" width="11.26953125" style="1" bestFit="1" customWidth="1"/>
    <col min="4867" max="4867" width="6.7265625" style="1" customWidth="1"/>
    <col min="4868" max="4868" width="22.26953125" style="1" customWidth="1"/>
    <col min="4869" max="4869" width="11.26953125" style="1" customWidth="1"/>
    <col min="4870" max="4870" width="19.1796875" style="1" customWidth="1"/>
    <col min="4871" max="4871" width="24" style="1" customWidth="1"/>
    <col min="4872" max="4872" width="19" style="1" bestFit="1" customWidth="1"/>
    <col min="4873" max="4873" width="9" style="1" bestFit="1" customWidth="1"/>
    <col min="4874" max="4874" width="15.1796875" style="1" bestFit="1" customWidth="1"/>
    <col min="4875" max="5120" width="9.1796875" style="1"/>
    <col min="5121" max="5121" width="3.54296875" style="1" bestFit="1" customWidth="1"/>
    <col min="5122" max="5122" width="11.26953125" style="1" bestFit="1" customWidth="1"/>
    <col min="5123" max="5123" width="6.7265625" style="1" customWidth="1"/>
    <col min="5124" max="5124" width="22.26953125" style="1" customWidth="1"/>
    <col min="5125" max="5125" width="11.26953125" style="1" customWidth="1"/>
    <col min="5126" max="5126" width="19.1796875" style="1" customWidth="1"/>
    <col min="5127" max="5127" width="24" style="1" customWidth="1"/>
    <col min="5128" max="5128" width="19" style="1" bestFit="1" customWidth="1"/>
    <col min="5129" max="5129" width="9" style="1" bestFit="1" customWidth="1"/>
    <col min="5130" max="5130" width="15.1796875" style="1" bestFit="1" customWidth="1"/>
    <col min="5131" max="5376" width="9.1796875" style="1"/>
    <col min="5377" max="5377" width="3.54296875" style="1" bestFit="1" customWidth="1"/>
    <col min="5378" max="5378" width="11.26953125" style="1" bestFit="1" customWidth="1"/>
    <col min="5379" max="5379" width="6.7265625" style="1" customWidth="1"/>
    <col min="5380" max="5380" width="22.26953125" style="1" customWidth="1"/>
    <col min="5381" max="5381" width="11.26953125" style="1" customWidth="1"/>
    <col min="5382" max="5382" width="19.1796875" style="1" customWidth="1"/>
    <col min="5383" max="5383" width="24" style="1" customWidth="1"/>
    <col min="5384" max="5384" width="19" style="1" bestFit="1" customWidth="1"/>
    <col min="5385" max="5385" width="9" style="1" bestFit="1" customWidth="1"/>
    <col min="5386" max="5386" width="15.1796875" style="1" bestFit="1" customWidth="1"/>
    <col min="5387" max="5632" width="9.1796875" style="1"/>
    <col min="5633" max="5633" width="3.54296875" style="1" bestFit="1" customWidth="1"/>
    <col min="5634" max="5634" width="11.26953125" style="1" bestFit="1" customWidth="1"/>
    <col min="5635" max="5635" width="6.7265625" style="1" customWidth="1"/>
    <col min="5636" max="5636" width="22.26953125" style="1" customWidth="1"/>
    <col min="5637" max="5637" width="11.26953125" style="1" customWidth="1"/>
    <col min="5638" max="5638" width="19.1796875" style="1" customWidth="1"/>
    <col min="5639" max="5639" width="24" style="1" customWidth="1"/>
    <col min="5640" max="5640" width="19" style="1" bestFit="1" customWidth="1"/>
    <col min="5641" max="5641" width="9" style="1" bestFit="1" customWidth="1"/>
    <col min="5642" max="5642" width="15.1796875" style="1" bestFit="1" customWidth="1"/>
    <col min="5643" max="5888" width="9.1796875" style="1"/>
    <col min="5889" max="5889" width="3.54296875" style="1" bestFit="1" customWidth="1"/>
    <col min="5890" max="5890" width="11.26953125" style="1" bestFit="1" customWidth="1"/>
    <col min="5891" max="5891" width="6.7265625" style="1" customWidth="1"/>
    <col min="5892" max="5892" width="22.26953125" style="1" customWidth="1"/>
    <col min="5893" max="5893" width="11.26953125" style="1" customWidth="1"/>
    <col min="5894" max="5894" width="19.1796875" style="1" customWidth="1"/>
    <col min="5895" max="5895" width="24" style="1" customWidth="1"/>
    <col min="5896" max="5896" width="19" style="1" bestFit="1" customWidth="1"/>
    <col min="5897" max="5897" width="9" style="1" bestFit="1" customWidth="1"/>
    <col min="5898" max="5898" width="15.1796875" style="1" bestFit="1" customWidth="1"/>
    <col min="5899" max="6144" width="9.1796875" style="1"/>
    <col min="6145" max="6145" width="3.54296875" style="1" bestFit="1" customWidth="1"/>
    <col min="6146" max="6146" width="11.26953125" style="1" bestFit="1" customWidth="1"/>
    <col min="6147" max="6147" width="6.7265625" style="1" customWidth="1"/>
    <col min="6148" max="6148" width="22.26953125" style="1" customWidth="1"/>
    <col min="6149" max="6149" width="11.26953125" style="1" customWidth="1"/>
    <col min="6150" max="6150" width="19.1796875" style="1" customWidth="1"/>
    <col min="6151" max="6151" width="24" style="1" customWidth="1"/>
    <col min="6152" max="6152" width="19" style="1" bestFit="1" customWidth="1"/>
    <col min="6153" max="6153" width="9" style="1" bestFit="1" customWidth="1"/>
    <col min="6154" max="6154" width="15.1796875" style="1" bestFit="1" customWidth="1"/>
    <col min="6155" max="6400" width="9.1796875" style="1"/>
    <col min="6401" max="6401" width="3.54296875" style="1" bestFit="1" customWidth="1"/>
    <col min="6402" max="6402" width="11.26953125" style="1" bestFit="1" customWidth="1"/>
    <col min="6403" max="6403" width="6.7265625" style="1" customWidth="1"/>
    <col min="6404" max="6404" width="22.26953125" style="1" customWidth="1"/>
    <col min="6405" max="6405" width="11.26953125" style="1" customWidth="1"/>
    <col min="6406" max="6406" width="19.1796875" style="1" customWidth="1"/>
    <col min="6407" max="6407" width="24" style="1" customWidth="1"/>
    <col min="6408" max="6408" width="19" style="1" bestFit="1" customWidth="1"/>
    <col min="6409" max="6409" width="9" style="1" bestFit="1" customWidth="1"/>
    <col min="6410" max="6410" width="15.1796875" style="1" bestFit="1" customWidth="1"/>
    <col min="6411" max="6656" width="9.1796875" style="1"/>
    <col min="6657" max="6657" width="3.54296875" style="1" bestFit="1" customWidth="1"/>
    <col min="6658" max="6658" width="11.26953125" style="1" bestFit="1" customWidth="1"/>
    <col min="6659" max="6659" width="6.7265625" style="1" customWidth="1"/>
    <col min="6660" max="6660" width="22.26953125" style="1" customWidth="1"/>
    <col min="6661" max="6661" width="11.26953125" style="1" customWidth="1"/>
    <col min="6662" max="6662" width="19.1796875" style="1" customWidth="1"/>
    <col min="6663" max="6663" width="24" style="1" customWidth="1"/>
    <col min="6664" max="6664" width="19" style="1" bestFit="1" customWidth="1"/>
    <col min="6665" max="6665" width="9" style="1" bestFit="1" customWidth="1"/>
    <col min="6666" max="6666" width="15.1796875" style="1" bestFit="1" customWidth="1"/>
    <col min="6667" max="6912" width="9.1796875" style="1"/>
    <col min="6913" max="6913" width="3.54296875" style="1" bestFit="1" customWidth="1"/>
    <col min="6914" max="6914" width="11.26953125" style="1" bestFit="1" customWidth="1"/>
    <col min="6915" max="6915" width="6.7265625" style="1" customWidth="1"/>
    <col min="6916" max="6916" width="22.26953125" style="1" customWidth="1"/>
    <col min="6917" max="6917" width="11.26953125" style="1" customWidth="1"/>
    <col min="6918" max="6918" width="19.1796875" style="1" customWidth="1"/>
    <col min="6919" max="6919" width="24" style="1" customWidth="1"/>
    <col min="6920" max="6920" width="19" style="1" bestFit="1" customWidth="1"/>
    <col min="6921" max="6921" width="9" style="1" bestFit="1" customWidth="1"/>
    <col min="6922" max="6922" width="15.1796875" style="1" bestFit="1" customWidth="1"/>
    <col min="6923" max="7168" width="9.1796875" style="1"/>
    <col min="7169" max="7169" width="3.54296875" style="1" bestFit="1" customWidth="1"/>
    <col min="7170" max="7170" width="11.26953125" style="1" bestFit="1" customWidth="1"/>
    <col min="7171" max="7171" width="6.7265625" style="1" customWidth="1"/>
    <col min="7172" max="7172" width="22.26953125" style="1" customWidth="1"/>
    <col min="7173" max="7173" width="11.26953125" style="1" customWidth="1"/>
    <col min="7174" max="7174" width="19.1796875" style="1" customWidth="1"/>
    <col min="7175" max="7175" width="24" style="1" customWidth="1"/>
    <col min="7176" max="7176" width="19" style="1" bestFit="1" customWidth="1"/>
    <col min="7177" max="7177" width="9" style="1" bestFit="1" customWidth="1"/>
    <col min="7178" max="7178" width="15.1796875" style="1" bestFit="1" customWidth="1"/>
    <col min="7179" max="7424" width="9.1796875" style="1"/>
    <col min="7425" max="7425" width="3.54296875" style="1" bestFit="1" customWidth="1"/>
    <col min="7426" max="7426" width="11.26953125" style="1" bestFit="1" customWidth="1"/>
    <col min="7427" max="7427" width="6.7265625" style="1" customWidth="1"/>
    <col min="7428" max="7428" width="22.26953125" style="1" customWidth="1"/>
    <col min="7429" max="7429" width="11.26953125" style="1" customWidth="1"/>
    <col min="7430" max="7430" width="19.1796875" style="1" customWidth="1"/>
    <col min="7431" max="7431" width="24" style="1" customWidth="1"/>
    <col min="7432" max="7432" width="19" style="1" bestFit="1" customWidth="1"/>
    <col min="7433" max="7433" width="9" style="1" bestFit="1" customWidth="1"/>
    <col min="7434" max="7434" width="15.1796875" style="1" bestFit="1" customWidth="1"/>
    <col min="7435" max="7680" width="9.1796875" style="1"/>
    <col min="7681" max="7681" width="3.54296875" style="1" bestFit="1" customWidth="1"/>
    <col min="7682" max="7682" width="11.26953125" style="1" bestFit="1" customWidth="1"/>
    <col min="7683" max="7683" width="6.7265625" style="1" customWidth="1"/>
    <col min="7684" max="7684" width="22.26953125" style="1" customWidth="1"/>
    <col min="7685" max="7685" width="11.26953125" style="1" customWidth="1"/>
    <col min="7686" max="7686" width="19.1796875" style="1" customWidth="1"/>
    <col min="7687" max="7687" width="24" style="1" customWidth="1"/>
    <col min="7688" max="7688" width="19" style="1" bestFit="1" customWidth="1"/>
    <col min="7689" max="7689" width="9" style="1" bestFit="1" customWidth="1"/>
    <col min="7690" max="7690" width="15.1796875" style="1" bestFit="1" customWidth="1"/>
    <col min="7691" max="7936" width="9.1796875" style="1"/>
    <col min="7937" max="7937" width="3.54296875" style="1" bestFit="1" customWidth="1"/>
    <col min="7938" max="7938" width="11.26953125" style="1" bestFit="1" customWidth="1"/>
    <col min="7939" max="7939" width="6.7265625" style="1" customWidth="1"/>
    <col min="7940" max="7940" width="22.26953125" style="1" customWidth="1"/>
    <col min="7941" max="7941" width="11.26953125" style="1" customWidth="1"/>
    <col min="7942" max="7942" width="19.1796875" style="1" customWidth="1"/>
    <col min="7943" max="7943" width="24" style="1" customWidth="1"/>
    <col min="7944" max="7944" width="19" style="1" bestFit="1" customWidth="1"/>
    <col min="7945" max="7945" width="9" style="1" bestFit="1" customWidth="1"/>
    <col min="7946" max="7946" width="15.1796875" style="1" bestFit="1" customWidth="1"/>
    <col min="7947" max="8192" width="9.1796875" style="1"/>
    <col min="8193" max="8193" width="3.54296875" style="1" bestFit="1" customWidth="1"/>
    <col min="8194" max="8194" width="11.26953125" style="1" bestFit="1" customWidth="1"/>
    <col min="8195" max="8195" width="6.7265625" style="1" customWidth="1"/>
    <col min="8196" max="8196" width="22.26953125" style="1" customWidth="1"/>
    <col min="8197" max="8197" width="11.26953125" style="1" customWidth="1"/>
    <col min="8198" max="8198" width="19.1796875" style="1" customWidth="1"/>
    <col min="8199" max="8199" width="24" style="1" customWidth="1"/>
    <col min="8200" max="8200" width="19" style="1" bestFit="1" customWidth="1"/>
    <col min="8201" max="8201" width="9" style="1" bestFit="1" customWidth="1"/>
    <col min="8202" max="8202" width="15.1796875" style="1" bestFit="1" customWidth="1"/>
    <col min="8203" max="8448" width="9.1796875" style="1"/>
    <col min="8449" max="8449" width="3.54296875" style="1" bestFit="1" customWidth="1"/>
    <col min="8450" max="8450" width="11.26953125" style="1" bestFit="1" customWidth="1"/>
    <col min="8451" max="8451" width="6.7265625" style="1" customWidth="1"/>
    <col min="8452" max="8452" width="22.26953125" style="1" customWidth="1"/>
    <col min="8453" max="8453" width="11.26953125" style="1" customWidth="1"/>
    <col min="8454" max="8454" width="19.1796875" style="1" customWidth="1"/>
    <col min="8455" max="8455" width="24" style="1" customWidth="1"/>
    <col min="8456" max="8456" width="19" style="1" bestFit="1" customWidth="1"/>
    <col min="8457" max="8457" width="9" style="1" bestFit="1" customWidth="1"/>
    <col min="8458" max="8458" width="15.1796875" style="1" bestFit="1" customWidth="1"/>
    <col min="8459" max="8704" width="9.1796875" style="1"/>
    <col min="8705" max="8705" width="3.54296875" style="1" bestFit="1" customWidth="1"/>
    <col min="8706" max="8706" width="11.26953125" style="1" bestFit="1" customWidth="1"/>
    <col min="8707" max="8707" width="6.7265625" style="1" customWidth="1"/>
    <col min="8708" max="8708" width="22.26953125" style="1" customWidth="1"/>
    <col min="8709" max="8709" width="11.26953125" style="1" customWidth="1"/>
    <col min="8710" max="8710" width="19.1796875" style="1" customWidth="1"/>
    <col min="8711" max="8711" width="24" style="1" customWidth="1"/>
    <col min="8712" max="8712" width="19" style="1" bestFit="1" customWidth="1"/>
    <col min="8713" max="8713" width="9" style="1" bestFit="1" customWidth="1"/>
    <col min="8714" max="8714" width="15.1796875" style="1" bestFit="1" customWidth="1"/>
    <col min="8715" max="8960" width="9.1796875" style="1"/>
    <col min="8961" max="8961" width="3.54296875" style="1" bestFit="1" customWidth="1"/>
    <col min="8962" max="8962" width="11.26953125" style="1" bestFit="1" customWidth="1"/>
    <col min="8963" max="8963" width="6.7265625" style="1" customWidth="1"/>
    <col min="8964" max="8964" width="22.26953125" style="1" customWidth="1"/>
    <col min="8965" max="8965" width="11.26953125" style="1" customWidth="1"/>
    <col min="8966" max="8966" width="19.1796875" style="1" customWidth="1"/>
    <col min="8967" max="8967" width="24" style="1" customWidth="1"/>
    <col min="8968" max="8968" width="19" style="1" bestFit="1" customWidth="1"/>
    <col min="8969" max="8969" width="9" style="1" bestFit="1" customWidth="1"/>
    <col min="8970" max="8970" width="15.1796875" style="1" bestFit="1" customWidth="1"/>
    <col min="8971" max="9216" width="9.1796875" style="1"/>
    <col min="9217" max="9217" width="3.54296875" style="1" bestFit="1" customWidth="1"/>
    <col min="9218" max="9218" width="11.26953125" style="1" bestFit="1" customWidth="1"/>
    <col min="9219" max="9219" width="6.7265625" style="1" customWidth="1"/>
    <col min="9220" max="9220" width="22.26953125" style="1" customWidth="1"/>
    <col min="9221" max="9221" width="11.26953125" style="1" customWidth="1"/>
    <col min="9222" max="9222" width="19.1796875" style="1" customWidth="1"/>
    <col min="9223" max="9223" width="24" style="1" customWidth="1"/>
    <col min="9224" max="9224" width="19" style="1" bestFit="1" customWidth="1"/>
    <col min="9225" max="9225" width="9" style="1" bestFit="1" customWidth="1"/>
    <col min="9226" max="9226" width="15.1796875" style="1" bestFit="1" customWidth="1"/>
    <col min="9227" max="9472" width="9.1796875" style="1"/>
    <col min="9473" max="9473" width="3.54296875" style="1" bestFit="1" customWidth="1"/>
    <col min="9474" max="9474" width="11.26953125" style="1" bestFit="1" customWidth="1"/>
    <col min="9475" max="9475" width="6.7265625" style="1" customWidth="1"/>
    <col min="9476" max="9476" width="22.26953125" style="1" customWidth="1"/>
    <col min="9477" max="9477" width="11.26953125" style="1" customWidth="1"/>
    <col min="9478" max="9478" width="19.1796875" style="1" customWidth="1"/>
    <col min="9479" max="9479" width="24" style="1" customWidth="1"/>
    <col min="9480" max="9480" width="19" style="1" bestFit="1" customWidth="1"/>
    <col min="9481" max="9481" width="9" style="1" bestFit="1" customWidth="1"/>
    <col min="9482" max="9482" width="15.1796875" style="1" bestFit="1" customWidth="1"/>
    <col min="9483" max="9728" width="9.1796875" style="1"/>
    <col min="9729" max="9729" width="3.54296875" style="1" bestFit="1" customWidth="1"/>
    <col min="9730" max="9730" width="11.26953125" style="1" bestFit="1" customWidth="1"/>
    <col min="9731" max="9731" width="6.7265625" style="1" customWidth="1"/>
    <col min="9732" max="9732" width="22.26953125" style="1" customWidth="1"/>
    <col min="9733" max="9733" width="11.26953125" style="1" customWidth="1"/>
    <col min="9734" max="9734" width="19.1796875" style="1" customWidth="1"/>
    <col min="9735" max="9735" width="24" style="1" customWidth="1"/>
    <col min="9736" max="9736" width="19" style="1" bestFit="1" customWidth="1"/>
    <col min="9737" max="9737" width="9" style="1" bestFit="1" customWidth="1"/>
    <col min="9738" max="9738" width="15.1796875" style="1" bestFit="1" customWidth="1"/>
    <col min="9739" max="9984" width="9.1796875" style="1"/>
    <col min="9985" max="9985" width="3.54296875" style="1" bestFit="1" customWidth="1"/>
    <col min="9986" max="9986" width="11.26953125" style="1" bestFit="1" customWidth="1"/>
    <col min="9987" max="9987" width="6.7265625" style="1" customWidth="1"/>
    <col min="9988" max="9988" width="22.26953125" style="1" customWidth="1"/>
    <col min="9989" max="9989" width="11.26953125" style="1" customWidth="1"/>
    <col min="9990" max="9990" width="19.1796875" style="1" customWidth="1"/>
    <col min="9991" max="9991" width="24" style="1" customWidth="1"/>
    <col min="9992" max="9992" width="19" style="1" bestFit="1" customWidth="1"/>
    <col min="9993" max="9993" width="9" style="1" bestFit="1" customWidth="1"/>
    <col min="9994" max="9994" width="15.1796875" style="1" bestFit="1" customWidth="1"/>
    <col min="9995" max="10240" width="9.1796875" style="1"/>
    <col min="10241" max="10241" width="3.54296875" style="1" bestFit="1" customWidth="1"/>
    <col min="10242" max="10242" width="11.26953125" style="1" bestFit="1" customWidth="1"/>
    <col min="10243" max="10243" width="6.7265625" style="1" customWidth="1"/>
    <col min="10244" max="10244" width="22.26953125" style="1" customWidth="1"/>
    <col min="10245" max="10245" width="11.26953125" style="1" customWidth="1"/>
    <col min="10246" max="10246" width="19.1796875" style="1" customWidth="1"/>
    <col min="10247" max="10247" width="24" style="1" customWidth="1"/>
    <col min="10248" max="10248" width="19" style="1" bestFit="1" customWidth="1"/>
    <col min="10249" max="10249" width="9" style="1" bestFit="1" customWidth="1"/>
    <col min="10250" max="10250" width="15.1796875" style="1" bestFit="1" customWidth="1"/>
    <col min="10251" max="10496" width="9.1796875" style="1"/>
    <col min="10497" max="10497" width="3.54296875" style="1" bestFit="1" customWidth="1"/>
    <col min="10498" max="10498" width="11.26953125" style="1" bestFit="1" customWidth="1"/>
    <col min="10499" max="10499" width="6.7265625" style="1" customWidth="1"/>
    <col min="10500" max="10500" width="22.26953125" style="1" customWidth="1"/>
    <col min="10501" max="10501" width="11.26953125" style="1" customWidth="1"/>
    <col min="10502" max="10502" width="19.1796875" style="1" customWidth="1"/>
    <col min="10503" max="10503" width="24" style="1" customWidth="1"/>
    <col min="10504" max="10504" width="19" style="1" bestFit="1" customWidth="1"/>
    <col min="10505" max="10505" width="9" style="1" bestFit="1" customWidth="1"/>
    <col min="10506" max="10506" width="15.1796875" style="1" bestFit="1" customWidth="1"/>
    <col min="10507" max="10752" width="9.1796875" style="1"/>
    <col min="10753" max="10753" width="3.54296875" style="1" bestFit="1" customWidth="1"/>
    <col min="10754" max="10754" width="11.26953125" style="1" bestFit="1" customWidth="1"/>
    <col min="10755" max="10755" width="6.7265625" style="1" customWidth="1"/>
    <col min="10756" max="10756" width="22.26953125" style="1" customWidth="1"/>
    <col min="10757" max="10757" width="11.26953125" style="1" customWidth="1"/>
    <col min="10758" max="10758" width="19.1796875" style="1" customWidth="1"/>
    <col min="10759" max="10759" width="24" style="1" customWidth="1"/>
    <col min="10760" max="10760" width="19" style="1" bestFit="1" customWidth="1"/>
    <col min="10761" max="10761" width="9" style="1" bestFit="1" customWidth="1"/>
    <col min="10762" max="10762" width="15.1796875" style="1" bestFit="1" customWidth="1"/>
    <col min="10763" max="11008" width="9.1796875" style="1"/>
    <col min="11009" max="11009" width="3.54296875" style="1" bestFit="1" customWidth="1"/>
    <col min="11010" max="11010" width="11.26953125" style="1" bestFit="1" customWidth="1"/>
    <col min="11011" max="11011" width="6.7265625" style="1" customWidth="1"/>
    <col min="11012" max="11012" width="22.26953125" style="1" customWidth="1"/>
    <col min="11013" max="11013" width="11.26953125" style="1" customWidth="1"/>
    <col min="11014" max="11014" width="19.1796875" style="1" customWidth="1"/>
    <col min="11015" max="11015" width="24" style="1" customWidth="1"/>
    <col min="11016" max="11016" width="19" style="1" bestFit="1" customWidth="1"/>
    <col min="11017" max="11017" width="9" style="1" bestFit="1" customWidth="1"/>
    <col min="11018" max="11018" width="15.1796875" style="1" bestFit="1" customWidth="1"/>
    <col min="11019" max="11264" width="9.1796875" style="1"/>
    <col min="11265" max="11265" width="3.54296875" style="1" bestFit="1" customWidth="1"/>
    <col min="11266" max="11266" width="11.26953125" style="1" bestFit="1" customWidth="1"/>
    <col min="11267" max="11267" width="6.7265625" style="1" customWidth="1"/>
    <col min="11268" max="11268" width="22.26953125" style="1" customWidth="1"/>
    <col min="11269" max="11269" width="11.26953125" style="1" customWidth="1"/>
    <col min="11270" max="11270" width="19.1796875" style="1" customWidth="1"/>
    <col min="11271" max="11271" width="24" style="1" customWidth="1"/>
    <col min="11272" max="11272" width="19" style="1" bestFit="1" customWidth="1"/>
    <col min="11273" max="11273" width="9" style="1" bestFit="1" customWidth="1"/>
    <col min="11274" max="11274" width="15.1796875" style="1" bestFit="1" customWidth="1"/>
    <col min="11275" max="11520" width="9.1796875" style="1"/>
    <col min="11521" max="11521" width="3.54296875" style="1" bestFit="1" customWidth="1"/>
    <col min="11522" max="11522" width="11.26953125" style="1" bestFit="1" customWidth="1"/>
    <col min="11523" max="11523" width="6.7265625" style="1" customWidth="1"/>
    <col min="11524" max="11524" width="22.26953125" style="1" customWidth="1"/>
    <col min="11525" max="11525" width="11.26953125" style="1" customWidth="1"/>
    <col min="11526" max="11526" width="19.1796875" style="1" customWidth="1"/>
    <col min="11527" max="11527" width="24" style="1" customWidth="1"/>
    <col min="11528" max="11528" width="19" style="1" bestFit="1" customWidth="1"/>
    <col min="11529" max="11529" width="9" style="1" bestFit="1" customWidth="1"/>
    <col min="11530" max="11530" width="15.1796875" style="1" bestFit="1" customWidth="1"/>
    <col min="11531" max="11776" width="9.1796875" style="1"/>
    <col min="11777" max="11777" width="3.54296875" style="1" bestFit="1" customWidth="1"/>
    <col min="11778" max="11778" width="11.26953125" style="1" bestFit="1" customWidth="1"/>
    <col min="11779" max="11779" width="6.7265625" style="1" customWidth="1"/>
    <col min="11780" max="11780" width="22.26953125" style="1" customWidth="1"/>
    <col min="11781" max="11781" width="11.26953125" style="1" customWidth="1"/>
    <col min="11782" max="11782" width="19.1796875" style="1" customWidth="1"/>
    <col min="11783" max="11783" width="24" style="1" customWidth="1"/>
    <col min="11784" max="11784" width="19" style="1" bestFit="1" customWidth="1"/>
    <col min="11785" max="11785" width="9" style="1" bestFit="1" customWidth="1"/>
    <col min="11786" max="11786" width="15.1796875" style="1" bestFit="1" customWidth="1"/>
    <col min="11787" max="12032" width="9.1796875" style="1"/>
    <col min="12033" max="12033" width="3.54296875" style="1" bestFit="1" customWidth="1"/>
    <col min="12034" max="12034" width="11.26953125" style="1" bestFit="1" customWidth="1"/>
    <col min="12035" max="12035" width="6.7265625" style="1" customWidth="1"/>
    <col min="12036" max="12036" width="22.26953125" style="1" customWidth="1"/>
    <col min="12037" max="12037" width="11.26953125" style="1" customWidth="1"/>
    <col min="12038" max="12038" width="19.1796875" style="1" customWidth="1"/>
    <col min="12039" max="12039" width="24" style="1" customWidth="1"/>
    <col min="12040" max="12040" width="19" style="1" bestFit="1" customWidth="1"/>
    <col min="12041" max="12041" width="9" style="1" bestFit="1" customWidth="1"/>
    <col min="12042" max="12042" width="15.1796875" style="1" bestFit="1" customWidth="1"/>
    <col min="12043" max="12288" width="9.1796875" style="1"/>
    <col min="12289" max="12289" width="3.54296875" style="1" bestFit="1" customWidth="1"/>
    <col min="12290" max="12290" width="11.26953125" style="1" bestFit="1" customWidth="1"/>
    <col min="12291" max="12291" width="6.7265625" style="1" customWidth="1"/>
    <col min="12292" max="12292" width="22.26953125" style="1" customWidth="1"/>
    <col min="12293" max="12293" width="11.26953125" style="1" customWidth="1"/>
    <col min="12294" max="12294" width="19.1796875" style="1" customWidth="1"/>
    <col min="12295" max="12295" width="24" style="1" customWidth="1"/>
    <col min="12296" max="12296" width="19" style="1" bestFit="1" customWidth="1"/>
    <col min="12297" max="12297" width="9" style="1" bestFit="1" customWidth="1"/>
    <col min="12298" max="12298" width="15.1796875" style="1" bestFit="1" customWidth="1"/>
    <col min="12299" max="12544" width="9.1796875" style="1"/>
    <col min="12545" max="12545" width="3.54296875" style="1" bestFit="1" customWidth="1"/>
    <col min="12546" max="12546" width="11.26953125" style="1" bestFit="1" customWidth="1"/>
    <col min="12547" max="12547" width="6.7265625" style="1" customWidth="1"/>
    <col min="12548" max="12548" width="22.26953125" style="1" customWidth="1"/>
    <col min="12549" max="12549" width="11.26953125" style="1" customWidth="1"/>
    <col min="12550" max="12550" width="19.1796875" style="1" customWidth="1"/>
    <col min="12551" max="12551" width="24" style="1" customWidth="1"/>
    <col min="12552" max="12552" width="19" style="1" bestFit="1" customWidth="1"/>
    <col min="12553" max="12553" width="9" style="1" bestFit="1" customWidth="1"/>
    <col min="12554" max="12554" width="15.1796875" style="1" bestFit="1" customWidth="1"/>
    <col min="12555" max="12800" width="9.1796875" style="1"/>
    <col min="12801" max="12801" width="3.54296875" style="1" bestFit="1" customWidth="1"/>
    <col min="12802" max="12802" width="11.26953125" style="1" bestFit="1" customWidth="1"/>
    <col min="12803" max="12803" width="6.7265625" style="1" customWidth="1"/>
    <col min="12804" max="12804" width="22.26953125" style="1" customWidth="1"/>
    <col min="12805" max="12805" width="11.26953125" style="1" customWidth="1"/>
    <col min="12806" max="12806" width="19.1796875" style="1" customWidth="1"/>
    <col min="12807" max="12807" width="24" style="1" customWidth="1"/>
    <col min="12808" max="12808" width="19" style="1" bestFit="1" customWidth="1"/>
    <col min="12809" max="12809" width="9" style="1" bestFit="1" customWidth="1"/>
    <col min="12810" max="12810" width="15.1796875" style="1" bestFit="1" customWidth="1"/>
    <col min="12811" max="13056" width="9.1796875" style="1"/>
    <col min="13057" max="13057" width="3.54296875" style="1" bestFit="1" customWidth="1"/>
    <col min="13058" max="13058" width="11.26953125" style="1" bestFit="1" customWidth="1"/>
    <col min="13059" max="13059" width="6.7265625" style="1" customWidth="1"/>
    <col min="13060" max="13060" width="22.26953125" style="1" customWidth="1"/>
    <col min="13061" max="13061" width="11.26953125" style="1" customWidth="1"/>
    <col min="13062" max="13062" width="19.1796875" style="1" customWidth="1"/>
    <col min="13063" max="13063" width="24" style="1" customWidth="1"/>
    <col min="13064" max="13064" width="19" style="1" bestFit="1" customWidth="1"/>
    <col min="13065" max="13065" width="9" style="1" bestFit="1" customWidth="1"/>
    <col min="13066" max="13066" width="15.1796875" style="1" bestFit="1" customWidth="1"/>
    <col min="13067" max="13312" width="9.1796875" style="1"/>
    <col min="13313" max="13313" width="3.54296875" style="1" bestFit="1" customWidth="1"/>
    <col min="13314" max="13314" width="11.26953125" style="1" bestFit="1" customWidth="1"/>
    <col min="13315" max="13315" width="6.7265625" style="1" customWidth="1"/>
    <col min="13316" max="13316" width="22.26953125" style="1" customWidth="1"/>
    <col min="13317" max="13317" width="11.26953125" style="1" customWidth="1"/>
    <col min="13318" max="13318" width="19.1796875" style="1" customWidth="1"/>
    <col min="13319" max="13319" width="24" style="1" customWidth="1"/>
    <col min="13320" max="13320" width="19" style="1" bestFit="1" customWidth="1"/>
    <col min="13321" max="13321" width="9" style="1" bestFit="1" customWidth="1"/>
    <col min="13322" max="13322" width="15.1796875" style="1" bestFit="1" customWidth="1"/>
    <col min="13323" max="13568" width="9.1796875" style="1"/>
    <col min="13569" max="13569" width="3.54296875" style="1" bestFit="1" customWidth="1"/>
    <col min="13570" max="13570" width="11.26953125" style="1" bestFit="1" customWidth="1"/>
    <col min="13571" max="13571" width="6.7265625" style="1" customWidth="1"/>
    <col min="13572" max="13572" width="22.26953125" style="1" customWidth="1"/>
    <col min="13573" max="13573" width="11.26953125" style="1" customWidth="1"/>
    <col min="13574" max="13574" width="19.1796875" style="1" customWidth="1"/>
    <col min="13575" max="13575" width="24" style="1" customWidth="1"/>
    <col min="13576" max="13576" width="19" style="1" bestFit="1" customWidth="1"/>
    <col min="13577" max="13577" width="9" style="1" bestFit="1" customWidth="1"/>
    <col min="13578" max="13578" width="15.1796875" style="1" bestFit="1" customWidth="1"/>
    <col min="13579" max="13824" width="9.1796875" style="1"/>
    <col min="13825" max="13825" width="3.54296875" style="1" bestFit="1" customWidth="1"/>
    <col min="13826" max="13826" width="11.26953125" style="1" bestFit="1" customWidth="1"/>
    <col min="13827" max="13827" width="6.7265625" style="1" customWidth="1"/>
    <col min="13828" max="13828" width="22.26953125" style="1" customWidth="1"/>
    <col min="13829" max="13829" width="11.26953125" style="1" customWidth="1"/>
    <col min="13830" max="13830" width="19.1796875" style="1" customWidth="1"/>
    <col min="13831" max="13831" width="24" style="1" customWidth="1"/>
    <col min="13832" max="13832" width="19" style="1" bestFit="1" customWidth="1"/>
    <col min="13833" max="13833" width="9" style="1" bestFit="1" customWidth="1"/>
    <col min="13834" max="13834" width="15.1796875" style="1" bestFit="1" customWidth="1"/>
    <col min="13835" max="14080" width="9.1796875" style="1"/>
    <col min="14081" max="14081" width="3.54296875" style="1" bestFit="1" customWidth="1"/>
    <col min="14082" max="14082" width="11.26953125" style="1" bestFit="1" customWidth="1"/>
    <col min="14083" max="14083" width="6.7265625" style="1" customWidth="1"/>
    <col min="14084" max="14084" width="22.26953125" style="1" customWidth="1"/>
    <col min="14085" max="14085" width="11.26953125" style="1" customWidth="1"/>
    <col min="14086" max="14086" width="19.1796875" style="1" customWidth="1"/>
    <col min="14087" max="14087" width="24" style="1" customWidth="1"/>
    <col min="14088" max="14088" width="19" style="1" bestFit="1" customWidth="1"/>
    <col min="14089" max="14089" width="9" style="1" bestFit="1" customWidth="1"/>
    <col min="14090" max="14090" width="15.1796875" style="1" bestFit="1" customWidth="1"/>
    <col min="14091" max="14336" width="9.1796875" style="1"/>
    <col min="14337" max="14337" width="3.54296875" style="1" bestFit="1" customWidth="1"/>
    <col min="14338" max="14338" width="11.26953125" style="1" bestFit="1" customWidth="1"/>
    <col min="14339" max="14339" width="6.7265625" style="1" customWidth="1"/>
    <col min="14340" max="14340" width="22.26953125" style="1" customWidth="1"/>
    <col min="14341" max="14341" width="11.26953125" style="1" customWidth="1"/>
    <col min="14342" max="14342" width="19.1796875" style="1" customWidth="1"/>
    <col min="14343" max="14343" width="24" style="1" customWidth="1"/>
    <col min="14344" max="14344" width="19" style="1" bestFit="1" customWidth="1"/>
    <col min="14345" max="14345" width="9" style="1" bestFit="1" customWidth="1"/>
    <col min="14346" max="14346" width="15.1796875" style="1" bestFit="1" customWidth="1"/>
    <col min="14347" max="14592" width="9.1796875" style="1"/>
    <col min="14593" max="14593" width="3.54296875" style="1" bestFit="1" customWidth="1"/>
    <col min="14594" max="14594" width="11.26953125" style="1" bestFit="1" customWidth="1"/>
    <col min="14595" max="14595" width="6.7265625" style="1" customWidth="1"/>
    <col min="14596" max="14596" width="22.26953125" style="1" customWidth="1"/>
    <col min="14597" max="14597" width="11.26953125" style="1" customWidth="1"/>
    <col min="14598" max="14598" width="19.1796875" style="1" customWidth="1"/>
    <col min="14599" max="14599" width="24" style="1" customWidth="1"/>
    <col min="14600" max="14600" width="19" style="1" bestFit="1" customWidth="1"/>
    <col min="14601" max="14601" width="9" style="1" bestFit="1" customWidth="1"/>
    <col min="14602" max="14602" width="15.1796875" style="1" bestFit="1" customWidth="1"/>
    <col min="14603" max="14848" width="9.1796875" style="1"/>
    <col min="14849" max="14849" width="3.54296875" style="1" bestFit="1" customWidth="1"/>
    <col min="14850" max="14850" width="11.26953125" style="1" bestFit="1" customWidth="1"/>
    <col min="14851" max="14851" width="6.7265625" style="1" customWidth="1"/>
    <col min="14852" max="14852" width="22.26953125" style="1" customWidth="1"/>
    <col min="14853" max="14853" width="11.26953125" style="1" customWidth="1"/>
    <col min="14854" max="14854" width="19.1796875" style="1" customWidth="1"/>
    <col min="14855" max="14855" width="24" style="1" customWidth="1"/>
    <col min="14856" max="14856" width="19" style="1" bestFit="1" customWidth="1"/>
    <col min="14857" max="14857" width="9" style="1" bestFit="1" customWidth="1"/>
    <col min="14858" max="14858" width="15.1796875" style="1" bestFit="1" customWidth="1"/>
    <col min="14859" max="15104" width="9.1796875" style="1"/>
    <col min="15105" max="15105" width="3.54296875" style="1" bestFit="1" customWidth="1"/>
    <col min="15106" max="15106" width="11.26953125" style="1" bestFit="1" customWidth="1"/>
    <col min="15107" max="15107" width="6.7265625" style="1" customWidth="1"/>
    <col min="15108" max="15108" width="22.26953125" style="1" customWidth="1"/>
    <col min="15109" max="15109" width="11.26953125" style="1" customWidth="1"/>
    <col min="15110" max="15110" width="19.1796875" style="1" customWidth="1"/>
    <col min="15111" max="15111" width="24" style="1" customWidth="1"/>
    <col min="15112" max="15112" width="19" style="1" bestFit="1" customWidth="1"/>
    <col min="15113" max="15113" width="9" style="1" bestFit="1" customWidth="1"/>
    <col min="15114" max="15114" width="15.1796875" style="1" bestFit="1" customWidth="1"/>
    <col min="15115" max="15360" width="9.1796875" style="1"/>
    <col min="15361" max="15361" width="3.54296875" style="1" bestFit="1" customWidth="1"/>
    <col min="15362" max="15362" width="11.26953125" style="1" bestFit="1" customWidth="1"/>
    <col min="15363" max="15363" width="6.7265625" style="1" customWidth="1"/>
    <col min="15364" max="15364" width="22.26953125" style="1" customWidth="1"/>
    <col min="15365" max="15365" width="11.26953125" style="1" customWidth="1"/>
    <col min="15366" max="15366" width="19.1796875" style="1" customWidth="1"/>
    <col min="15367" max="15367" width="24" style="1" customWidth="1"/>
    <col min="15368" max="15368" width="19" style="1" bestFit="1" customWidth="1"/>
    <col min="15369" max="15369" width="9" style="1" bestFit="1" customWidth="1"/>
    <col min="15370" max="15370" width="15.1796875" style="1" bestFit="1" customWidth="1"/>
    <col min="15371" max="15616" width="9.1796875" style="1"/>
    <col min="15617" max="15617" width="3.54296875" style="1" bestFit="1" customWidth="1"/>
    <col min="15618" max="15618" width="11.26953125" style="1" bestFit="1" customWidth="1"/>
    <col min="15619" max="15619" width="6.7265625" style="1" customWidth="1"/>
    <col min="15620" max="15620" width="22.26953125" style="1" customWidth="1"/>
    <col min="15621" max="15621" width="11.26953125" style="1" customWidth="1"/>
    <col min="15622" max="15622" width="19.1796875" style="1" customWidth="1"/>
    <col min="15623" max="15623" width="24" style="1" customWidth="1"/>
    <col min="15624" max="15624" width="19" style="1" bestFit="1" customWidth="1"/>
    <col min="15625" max="15625" width="9" style="1" bestFit="1" customWidth="1"/>
    <col min="15626" max="15626" width="15.1796875" style="1" bestFit="1" customWidth="1"/>
    <col min="15627" max="15872" width="9.1796875" style="1"/>
    <col min="15873" max="15873" width="3.54296875" style="1" bestFit="1" customWidth="1"/>
    <col min="15874" max="15874" width="11.26953125" style="1" bestFit="1" customWidth="1"/>
    <col min="15875" max="15875" width="6.7265625" style="1" customWidth="1"/>
    <col min="15876" max="15876" width="22.26953125" style="1" customWidth="1"/>
    <col min="15877" max="15877" width="11.26953125" style="1" customWidth="1"/>
    <col min="15878" max="15878" width="19.1796875" style="1" customWidth="1"/>
    <col min="15879" max="15879" width="24" style="1" customWidth="1"/>
    <col min="15880" max="15880" width="19" style="1" bestFit="1" customWidth="1"/>
    <col min="15881" max="15881" width="9" style="1" bestFit="1" customWidth="1"/>
    <col min="15882" max="15882" width="15.1796875" style="1" bestFit="1" customWidth="1"/>
    <col min="15883" max="16128" width="9.1796875" style="1"/>
    <col min="16129" max="16129" width="3.54296875" style="1" bestFit="1" customWidth="1"/>
    <col min="16130" max="16130" width="11.26953125" style="1" bestFit="1" customWidth="1"/>
    <col min="16131" max="16131" width="6.7265625" style="1" customWidth="1"/>
    <col min="16132" max="16132" width="22.26953125" style="1" customWidth="1"/>
    <col min="16133" max="16133" width="11.26953125" style="1" customWidth="1"/>
    <col min="16134" max="16134" width="19.1796875" style="1" customWidth="1"/>
    <col min="16135" max="16135" width="24" style="1" customWidth="1"/>
    <col min="16136" max="16136" width="19" style="1" bestFit="1" customWidth="1"/>
    <col min="16137" max="16137" width="9" style="1" bestFit="1" customWidth="1"/>
    <col min="16138" max="16138" width="15.1796875" style="1" bestFit="1" customWidth="1"/>
    <col min="16139" max="16384" width="9.1796875" style="1"/>
  </cols>
  <sheetData>
    <row r="1" spans="1:11" ht="21" x14ac:dyDescent="0.35">
      <c r="A1" s="4" t="s">
        <v>147</v>
      </c>
      <c r="B1" s="5"/>
      <c r="C1" s="5"/>
      <c r="D1" s="1"/>
      <c r="E1" s="5"/>
      <c r="F1" s="7"/>
      <c r="G1" s="6"/>
      <c r="H1" s="1"/>
    </row>
    <row r="2" spans="1:11" s="10" customFormat="1" ht="21" customHeight="1" x14ac:dyDescent="0.35">
      <c r="A2" s="8" t="s">
        <v>1</v>
      </c>
      <c r="B2" s="8" t="s">
        <v>0</v>
      </c>
      <c r="C2" s="8" t="s">
        <v>2</v>
      </c>
      <c r="D2" s="8" t="s">
        <v>3</v>
      </c>
      <c r="E2" s="8" t="s">
        <v>4</v>
      </c>
      <c r="F2" s="9" t="s">
        <v>81</v>
      </c>
      <c r="G2" s="8" t="s">
        <v>5</v>
      </c>
      <c r="H2" s="8" t="s">
        <v>105</v>
      </c>
      <c r="J2" s="9" t="s">
        <v>108</v>
      </c>
      <c r="K2" s="9" t="s">
        <v>109</v>
      </c>
    </row>
    <row r="3" spans="1:11" x14ac:dyDescent="0.35">
      <c r="A3" s="2">
        <v>1</v>
      </c>
      <c r="B3" s="2" t="s">
        <v>6</v>
      </c>
      <c r="C3" s="2">
        <v>105</v>
      </c>
      <c r="D3" s="3" t="s">
        <v>11</v>
      </c>
      <c r="E3" s="11">
        <v>42339</v>
      </c>
      <c r="F3" s="2" t="str">
        <f ca="1">DATEDIF(E3,TODAY(),"Y")&amp; " THN "&amp;DATEDIF(E3,TODAY(),"YM")&amp;" BLN"</f>
        <v>10 THN 8 BLN</v>
      </c>
      <c r="G3" s="3" t="s">
        <v>121</v>
      </c>
      <c r="H3" s="2" t="s">
        <v>106</v>
      </c>
      <c r="I3" s="19"/>
      <c r="J3" s="11">
        <v>32576</v>
      </c>
      <c r="K3" s="2" t="str">
        <f ca="1">DATEDIF(J3,TODAY(),"Y")&amp; " THN "&amp;DATEDIF(J3,TODAY(),"YM")&amp;" BLN"</f>
        <v>37 THN 5 BLN</v>
      </c>
    </row>
    <row r="4" spans="1:11" x14ac:dyDescent="0.35">
      <c r="A4" s="2">
        <v>2</v>
      </c>
      <c r="B4" s="2" t="s">
        <v>6</v>
      </c>
      <c r="C4" s="2">
        <v>65</v>
      </c>
      <c r="D4" s="3" t="s">
        <v>7</v>
      </c>
      <c r="E4" s="11">
        <v>42044</v>
      </c>
      <c r="F4" s="2" t="str">
        <f ca="1">DATEDIF(E4,TODAY(),"Y")&amp; " THN "&amp;DATEDIF(E4,TODAY(),"YM")&amp;" BLN"</f>
        <v>11 THN 6 BLN</v>
      </c>
      <c r="G4" s="3" t="s">
        <v>9</v>
      </c>
      <c r="H4" s="2" t="s">
        <v>106</v>
      </c>
      <c r="I4" s="19"/>
      <c r="J4" s="11">
        <v>35212</v>
      </c>
      <c r="K4" s="2" t="str">
        <f ca="1">DATEDIF(J4,TODAY(),"Y")&amp; " THN "&amp;DATEDIF(J4,TODAY(),"YM")&amp;" BLN"</f>
        <v>30 THN 3 BLN</v>
      </c>
    </row>
    <row r="5" spans="1:11" x14ac:dyDescent="0.35">
      <c r="A5" s="2">
        <v>3</v>
      </c>
      <c r="B5" s="2" t="s">
        <v>6</v>
      </c>
      <c r="C5" s="2">
        <v>146</v>
      </c>
      <c r="D5" s="3" t="s">
        <v>10</v>
      </c>
      <c r="E5" s="11">
        <v>42675</v>
      </c>
      <c r="F5" s="2" t="str">
        <f t="shared" ref="F5:F80" ca="1" si="0">DATEDIF(E5,TODAY(),"Y")&amp; " THN "&amp;DATEDIF(E5,TODAY(),"YM")&amp;" BLN"</f>
        <v>9 THN 9 BLN</v>
      </c>
      <c r="G5" s="3" t="s">
        <v>149</v>
      </c>
      <c r="H5" s="2" t="s">
        <v>106</v>
      </c>
      <c r="I5" s="19"/>
      <c r="J5" s="11">
        <v>35818</v>
      </c>
      <c r="K5" s="2" t="str">
        <f t="shared" ref="K5:K80" ca="1" si="1">DATEDIF(J5,TODAY(),"Y")&amp; " THN "&amp;DATEDIF(J5,TODAY(),"YM")&amp;" BLN"</f>
        <v>28 THN 7 BLN</v>
      </c>
    </row>
    <row r="6" spans="1:11" x14ac:dyDescent="0.35">
      <c r="A6" s="2">
        <v>4</v>
      </c>
      <c r="B6" s="2" t="s">
        <v>6</v>
      </c>
      <c r="C6" s="2">
        <v>182</v>
      </c>
      <c r="D6" s="3" t="s">
        <v>14</v>
      </c>
      <c r="E6" s="11">
        <v>42807</v>
      </c>
      <c r="F6" s="2" t="str">
        <f ca="1">DATEDIF(E6,TODAY(),"Y")&amp; " THN "&amp;DATEDIF(E6,TODAY(),"YM")&amp;" BLN"</f>
        <v>9 THN 5 BLN</v>
      </c>
      <c r="G6" s="3" t="s">
        <v>150</v>
      </c>
      <c r="H6" s="2" t="s">
        <v>106</v>
      </c>
      <c r="I6" s="19"/>
      <c r="J6" s="11">
        <v>32276</v>
      </c>
      <c r="K6" s="2" t="str">
        <f ca="1">DATEDIF(J6,TODAY(),"Y")&amp; " THN "&amp;DATEDIF(J6,TODAY(),"YM")&amp;" BLN"</f>
        <v>38 THN 3 BLN</v>
      </c>
    </row>
    <row r="7" spans="1:11" x14ac:dyDescent="0.35">
      <c r="A7" s="2">
        <v>5</v>
      </c>
      <c r="B7" s="2" t="s">
        <v>6</v>
      </c>
      <c r="C7" s="2">
        <v>332</v>
      </c>
      <c r="D7" s="3" t="s">
        <v>97</v>
      </c>
      <c r="E7" s="11">
        <v>43703</v>
      </c>
      <c r="F7" s="2" t="str">
        <f ca="1">DATEDIF(E7,TODAY(),"Y")&amp; " THN "&amp;DATEDIF(E7,TODAY(),"YM")&amp;" BLN"</f>
        <v>7 THN 0 BLN</v>
      </c>
      <c r="G7" s="3" t="s">
        <v>8</v>
      </c>
      <c r="H7" s="2" t="s">
        <v>107</v>
      </c>
      <c r="I7" s="19"/>
      <c r="J7" s="11">
        <v>31587</v>
      </c>
      <c r="K7" s="2" t="str">
        <f ca="1">DATEDIF(J7,TODAY(),"Y")&amp; " THN "&amp;DATEDIF(J7,TODAY(),"YM")&amp;" BLN"</f>
        <v>40 THN 2 BLN</v>
      </c>
    </row>
    <row r="8" spans="1:11" x14ac:dyDescent="0.35">
      <c r="A8" s="2">
        <v>6</v>
      </c>
      <c r="B8" s="2" t="s">
        <v>6</v>
      </c>
      <c r="C8" s="2">
        <v>250</v>
      </c>
      <c r="D8" s="3" t="s">
        <v>59</v>
      </c>
      <c r="E8" s="11">
        <v>43339</v>
      </c>
      <c r="F8" s="2" t="str">
        <f ca="1">DATEDIF(E8,TODAY(),"Y")&amp; " THN "&amp;DATEDIF(E8,TODAY(),"YM")&amp;" BLN"</f>
        <v>8 THN 0 BLN</v>
      </c>
      <c r="G8" s="3" t="s">
        <v>13</v>
      </c>
      <c r="H8" s="2" t="s">
        <v>107</v>
      </c>
      <c r="I8" s="19"/>
      <c r="J8" s="11">
        <v>34260</v>
      </c>
      <c r="K8" s="2" t="str">
        <f ca="1">DATEDIF(J8,TODAY(),"Y")&amp; " THN "&amp;DATEDIF(J8,TODAY(),"YM")&amp;" BLN"</f>
        <v>32 THN 10 BLN</v>
      </c>
    </row>
    <row r="9" spans="1:11" x14ac:dyDescent="0.35">
      <c r="A9" s="2">
        <v>7</v>
      </c>
      <c r="B9" s="2" t="s">
        <v>6</v>
      </c>
      <c r="C9" s="2">
        <v>364</v>
      </c>
      <c r="D9" s="3" t="s">
        <v>148</v>
      </c>
      <c r="E9" s="11">
        <v>44061</v>
      </c>
      <c r="F9" s="2" t="str">
        <f ca="1">DATEDIF(E9,TODAY(),"Y")&amp; " THN "&amp;DATEDIF(E9,TODAY(),"YM")&amp;" BLN"</f>
        <v>6 THN 0 BLN</v>
      </c>
      <c r="G9" s="3" t="s">
        <v>13</v>
      </c>
      <c r="H9" s="2" t="s">
        <v>107</v>
      </c>
      <c r="I9" s="19"/>
      <c r="J9" s="11">
        <v>31896</v>
      </c>
      <c r="K9" s="2" t="str">
        <f ca="1">DATEDIF(J9,TODAY(),"Y")&amp; " THN "&amp;DATEDIF(J9,TODAY(),"YM")&amp;" BLN"</f>
        <v>39 THN 4 BLN</v>
      </c>
    </row>
    <row r="10" spans="1:11" x14ac:dyDescent="0.35">
      <c r="A10" s="2">
        <v>8</v>
      </c>
      <c r="B10" s="2" t="s">
        <v>6</v>
      </c>
      <c r="C10" s="2">
        <v>357</v>
      </c>
      <c r="D10" s="3" t="s">
        <v>146</v>
      </c>
      <c r="E10" s="11">
        <v>44020</v>
      </c>
      <c r="F10" s="2" t="str">
        <f ca="1">DATEDIF(E10,TODAY(),"Y")&amp; " THN "&amp;DATEDIF(E10,TODAY(),"YM")&amp;" BLN"</f>
        <v>6 THN 1 BLN</v>
      </c>
      <c r="G10" s="3" t="s">
        <v>13</v>
      </c>
      <c r="H10" s="2"/>
      <c r="I10" s="19"/>
      <c r="J10" s="11">
        <v>34380</v>
      </c>
      <c r="K10" s="2" t="str">
        <f ca="1">DATEDIF(J10,TODAY(),"Y")&amp; " THN "&amp;DATEDIF(J10,TODAY(),"YM")&amp;" BLN"</f>
        <v>32 THN 6 BLN</v>
      </c>
    </row>
    <row r="11" spans="1:11" x14ac:dyDescent="0.35">
      <c r="A11" s="2">
        <v>9</v>
      </c>
      <c r="B11" s="2" t="s">
        <v>16</v>
      </c>
      <c r="C11" s="2">
        <v>123</v>
      </c>
      <c r="D11" s="3" t="s">
        <v>17</v>
      </c>
      <c r="E11" s="11">
        <v>42436</v>
      </c>
      <c r="F11" s="2" t="str">
        <f t="shared" ca="1" si="0"/>
        <v>10 THN 5 BLN</v>
      </c>
      <c r="G11" s="3" t="s">
        <v>18</v>
      </c>
      <c r="H11" s="2" t="s">
        <v>106</v>
      </c>
      <c r="I11" s="19"/>
      <c r="J11" s="11">
        <v>34314</v>
      </c>
      <c r="K11" s="2" t="str">
        <f t="shared" ca="1" si="1"/>
        <v>32 THN 8 BLN</v>
      </c>
    </row>
    <row r="12" spans="1:11" x14ac:dyDescent="0.35">
      <c r="A12" s="2">
        <v>10</v>
      </c>
      <c r="B12" s="2" t="s">
        <v>16</v>
      </c>
      <c r="C12" s="2">
        <v>12</v>
      </c>
      <c r="D12" s="3" t="s">
        <v>19</v>
      </c>
      <c r="E12" s="11">
        <v>41288</v>
      </c>
      <c r="F12" s="2" t="str">
        <f t="shared" ca="1" si="0"/>
        <v>13 THN 7 BLN</v>
      </c>
      <c r="G12" s="3" t="s">
        <v>122</v>
      </c>
      <c r="H12" s="2" t="s">
        <v>107</v>
      </c>
      <c r="I12" s="19"/>
      <c r="J12" s="11">
        <v>30153</v>
      </c>
      <c r="K12" s="2" t="str">
        <f t="shared" ca="1" si="1"/>
        <v>44 THN 1 BLN</v>
      </c>
    </row>
    <row r="13" spans="1:11" x14ac:dyDescent="0.35">
      <c r="A13" s="2">
        <v>11</v>
      </c>
      <c r="B13" s="2" t="s">
        <v>16</v>
      </c>
      <c r="C13" s="2">
        <v>353</v>
      </c>
      <c r="D13" s="3" t="s">
        <v>112</v>
      </c>
      <c r="E13" s="11">
        <v>43910</v>
      </c>
      <c r="F13" s="2" t="str">
        <f t="shared" ca="1" si="0"/>
        <v>6 THN 5 BLN</v>
      </c>
      <c r="G13" s="3" t="s">
        <v>123</v>
      </c>
      <c r="H13" s="2"/>
      <c r="I13" s="19"/>
      <c r="J13" s="11">
        <v>34014</v>
      </c>
      <c r="K13" s="2" t="str">
        <f t="shared" ca="1" si="1"/>
        <v>33 THN 6 BLN</v>
      </c>
    </row>
    <row r="14" spans="1:11" x14ac:dyDescent="0.35">
      <c r="A14" s="2">
        <v>12</v>
      </c>
      <c r="B14" s="2" t="s">
        <v>16</v>
      </c>
      <c r="C14" s="2">
        <v>354</v>
      </c>
      <c r="D14" s="3" t="s">
        <v>113</v>
      </c>
      <c r="E14" s="11">
        <v>43910</v>
      </c>
      <c r="F14" s="2" t="str">
        <f t="shared" ca="1" si="0"/>
        <v>6 THN 5 BLN</v>
      </c>
      <c r="G14" s="3" t="s">
        <v>123</v>
      </c>
      <c r="H14" s="2" t="s">
        <v>107</v>
      </c>
      <c r="I14" s="19"/>
      <c r="J14" s="11">
        <v>33490</v>
      </c>
      <c r="K14" s="2" t="str">
        <f t="shared" ca="1" si="1"/>
        <v>34 THN 11 BLN</v>
      </c>
    </row>
    <row r="15" spans="1:11" x14ac:dyDescent="0.35">
      <c r="A15" s="2">
        <v>13</v>
      </c>
      <c r="B15" s="2" t="s">
        <v>82</v>
      </c>
      <c r="C15" s="2">
        <v>7</v>
      </c>
      <c r="D15" s="3" t="s">
        <v>21</v>
      </c>
      <c r="E15" s="11">
        <v>41276</v>
      </c>
      <c r="F15" s="2" t="str">
        <f t="shared" ca="1" si="0"/>
        <v>13 THN 7 BLN</v>
      </c>
      <c r="G15" s="3" t="s">
        <v>18</v>
      </c>
      <c r="H15" s="2" t="s">
        <v>106</v>
      </c>
      <c r="I15" s="19"/>
      <c r="J15" s="11">
        <v>32084</v>
      </c>
      <c r="K15" s="2" t="str">
        <f t="shared" ca="1" si="1"/>
        <v>38 THN 9 BLN</v>
      </c>
    </row>
    <row r="16" spans="1:11" x14ac:dyDescent="0.35">
      <c r="A16" s="2">
        <v>14</v>
      </c>
      <c r="B16" s="2" t="s">
        <v>82</v>
      </c>
      <c r="C16" s="2">
        <v>5</v>
      </c>
      <c r="D16" s="3" t="s">
        <v>22</v>
      </c>
      <c r="E16" s="11">
        <v>38568</v>
      </c>
      <c r="F16" s="2" t="str">
        <f t="shared" ca="1" si="0"/>
        <v>21 THN 0 BLN</v>
      </c>
      <c r="G16" s="3" t="s">
        <v>98</v>
      </c>
      <c r="H16" s="2" t="s">
        <v>107</v>
      </c>
      <c r="I16" s="19"/>
      <c r="J16" s="11">
        <v>26169</v>
      </c>
      <c r="K16" s="2" t="str">
        <f t="shared" ca="1" si="1"/>
        <v>55 THN 0 BLN</v>
      </c>
    </row>
    <row r="17" spans="1:14" x14ac:dyDescent="0.35">
      <c r="A17" s="2">
        <v>15</v>
      </c>
      <c r="B17" s="2" t="s">
        <v>82</v>
      </c>
      <c r="C17" s="2">
        <v>62</v>
      </c>
      <c r="D17" s="3" t="s">
        <v>23</v>
      </c>
      <c r="E17" s="11">
        <v>42016</v>
      </c>
      <c r="F17" s="2" t="str">
        <f t="shared" ca="1" si="0"/>
        <v>11 THN 7 BLN</v>
      </c>
      <c r="G17" s="3" t="s">
        <v>99</v>
      </c>
      <c r="H17" s="2" t="s">
        <v>106</v>
      </c>
      <c r="I17" s="19"/>
      <c r="J17" s="11">
        <v>34858</v>
      </c>
      <c r="K17" s="2" t="str">
        <f t="shared" ca="1" si="1"/>
        <v>31 THN 2 BLN</v>
      </c>
    </row>
    <row r="18" spans="1:14" x14ac:dyDescent="0.35">
      <c r="A18" s="2">
        <v>16</v>
      </c>
      <c r="B18" s="2" t="s">
        <v>82</v>
      </c>
      <c r="C18" s="2">
        <v>356</v>
      </c>
      <c r="D18" s="3" t="s">
        <v>114</v>
      </c>
      <c r="E18" s="11">
        <v>44013</v>
      </c>
      <c r="F18" s="2" t="str">
        <f t="shared" ca="1" si="0"/>
        <v>6 THN 1 BLN</v>
      </c>
      <c r="G18" s="3" t="s">
        <v>124</v>
      </c>
      <c r="H18" s="2"/>
      <c r="I18" s="19"/>
      <c r="J18" s="11">
        <v>33216</v>
      </c>
      <c r="K18" s="2" t="str">
        <f t="shared" ca="1" si="1"/>
        <v>35 THN 8 BLN</v>
      </c>
    </row>
    <row r="19" spans="1:14" x14ac:dyDescent="0.35">
      <c r="A19" s="2">
        <v>17</v>
      </c>
      <c r="B19" s="2" t="s">
        <v>25</v>
      </c>
      <c r="C19" s="2">
        <v>125</v>
      </c>
      <c r="D19" s="3" t="s">
        <v>26</v>
      </c>
      <c r="E19" s="11">
        <v>42462</v>
      </c>
      <c r="F19" s="2" t="str">
        <f t="shared" ca="1" si="0"/>
        <v>10 THN 4 BLN</v>
      </c>
      <c r="G19" s="3" t="s">
        <v>18</v>
      </c>
      <c r="H19" s="2" t="s">
        <v>107</v>
      </c>
      <c r="I19" s="19"/>
      <c r="J19" s="11">
        <v>29989</v>
      </c>
      <c r="K19" s="2" t="str">
        <f t="shared" ca="1" si="1"/>
        <v>44 THN 6 BLN</v>
      </c>
      <c r="N19" s="1">
        <v>1</v>
      </c>
    </row>
    <row r="20" spans="1:14" x14ac:dyDescent="0.35">
      <c r="A20" s="2">
        <v>18</v>
      </c>
      <c r="B20" s="2" t="s">
        <v>25</v>
      </c>
      <c r="C20" s="2">
        <v>2</v>
      </c>
      <c r="D20" s="3" t="s">
        <v>27</v>
      </c>
      <c r="E20" s="11">
        <v>35841</v>
      </c>
      <c r="F20" s="2" t="str">
        <f t="shared" ca="1" si="0"/>
        <v>28 THN 6 BLN</v>
      </c>
      <c r="G20" s="3" t="s">
        <v>28</v>
      </c>
      <c r="H20" s="2" t="s">
        <v>107</v>
      </c>
      <c r="I20" s="19"/>
      <c r="J20" s="11">
        <v>23721</v>
      </c>
      <c r="K20" s="2" t="str">
        <f t="shared" ca="1" si="1"/>
        <v>61 THN 8 BLN</v>
      </c>
      <c r="N20" s="1">
        <v>2</v>
      </c>
    </row>
    <row r="21" spans="1:14" x14ac:dyDescent="0.35">
      <c r="A21" s="2">
        <v>19</v>
      </c>
      <c r="B21" s="2" t="s">
        <v>25</v>
      </c>
      <c r="C21" s="2">
        <v>4</v>
      </c>
      <c r="D21" s="3" t="s">
        <v>29</v>
      </c>
      <c r="E21" s="11">
        <v>38458</v>
      </c>
      <c r="F21" s="2" t="str">
        <f t="shared" ca="1" si="0"/>
        <v>21 THN 4 BLN</v>
      </c>
      <c r="G21" s="3" t="s">
        <v>30</v>
      </c>
      <c r="H21" s="2" t="s">
        <v>107</v>
      </c>
      <c r="I21" s="19"/>
      <c r="J21" s="11">
        <v>30050</v>
      </c>
      <c r="K21" s="2" t="str">
        <f t="shared" ca="1" si="1"/>
        <v>44 THN 4 BLN</v>
      </c>
      <c r="N21" s="1">
        <v>3</v>
      </c>
    </row>
    <row r="22" spans="1:14" x14ac:dyDescent="0.35">
      <c r="A22" s="2">
        <v>20</v>
      </c>
      <c r="B22" s="2" t="s">
        <v>25</v>
      </c>
      <c r="C22" s="2">
        <v>18</v>
      </c>
      <c r="D22" s="3" t="s">
        <v>31</v>
      </c>
      <c r="E22" s="11">
        <v>38605</v>
      </c>
      <c r="F22" s="2" t="str">
        <f t="shared" ca="1" si="0"/>
        <v>20 THN 11 BLN</v>
      </c>
      <c r="G22" s="3" t="s">
        <v>125</v>
      </c>
      <c r="H22" s="2" t="s">
        <v>107</v>
      </c>
      <c r="I22" s="19"/>
      <c r="J22" s="11">
        <v>30630</v>
      </c>
      <c r="K22" s="2" t="str">
        <f t="shared" ca="1" si="1"/>
        <v>42 THN 9 BLN</v>
      </c>
      <c r="N22" s="1">
        <v>4</v>
      </c>
    </row>
    <row r="23" spans="1:14" x14ac:dyDescent="0.35">
      <c r="A23" s="2">
        <v>21</v>
      </c>
      <c r="B23" s="2" t="s">
        <v>25</v>
      </c>
      <c r="C23" s="2">
        <v>283</v>
      </c>
      <c r="D23" s="3" t="s">
        <v>83</v>
      </c>
      <c r="E23" s="11">
        <v>43493</v>
      </c>
      <c r="F23" s="2" t="str">
        <f t="shared" ca="1" si="0"/>
        <v>7 THN 7 BLN</v>
      </c>
      <c r="G23" s="15" t="s">
        <v>151</v>
      </c>
      <c r="H23" s="2" t="s">
        <v>107</v>
      </c>
      <c r="I23" s="19"/>
      <c r="J23" s="11">
        <v>34000</v>
      </c>
      <c r="K23" s="2" t="str">
        <f t="shared" ca="1" si="1"/>
        <v>33 THN 6 BLN</v>
      </c>
      <c r="N23" s="1">
        <v>5</v>
      </c>
    </row>
    <row r="24" spans="1:14" x14ac:dyDescent="0.35">
      <c r="A24" s="2">
        <v>22</v>
      </c>
      <c r="B24" s="2" t="s">
        <v>25</v>
      </c>
      <c r="C24" s="2">
        <v>11</v>
      </c>
      <c r="D24" s="3" t="s">
        <v>32</v>
      </c>
      <c r="E24" s="11">
        <v>41918</v>
      </c>
      <c r="F24" s="2" t="str">
        <f t="shared" ref="F24:F29" ca="1" si="2">DATEDIF(E24,TODAY(),"Y")&amp; " THN "&amp;DATEDIF(E24,TODAY(),"YM")&amp;" BLN"</f>
        <v>11 THN 10 BLN</v>
      </c>
      <c r="G24" s="15" t="s">
        <v>151</v>
      </c>
      <c r="H24" s="2" t="s">
        <v>107</v>
      </c>
      <c r="I24" s="19"/>
      <c r="J24" s="11">
        <v>31373</v>
      </c>
      <c r="K24" s="2" t="str">
        <f t="shared" ref="K24:K29" ca="1" si="3">DATEDIF(J24,TODAY(),"Y")&amp; " THN "&amp;DATEDIF(J24,TODAY(),"YM")&amp;" BLN"</f>
        <v>40 THN 9 BLN</v>
      </c>
      <c r="N24" s="1">
        <v>6</v>
      </c>
    </row>
    <row r="25" spans="1:14" x14ac:dyDescent="0.35">
      <c r="A25" s="2">
        <v>23</v>
      </c>
      <c r="B25" s="2" t="s">
        <v>25</v>
      </c>
      <c r="C25" s="2">
        <v>371</v>
      </c>
      <c r="D25" s="3" t="s">
        <v>152</v>
      </c>
      <c r="E25" s="11">
        <v>44090</v>
      </c>
      <c r="F25" s="2" t="str">
        <f t="shared" ca="1" si="2"/>
        <v>5 THN 11 BLN</v>
      </c>
      <c r="G25" s="20" t="s">
        <v>154</v>
      </c>
      <c r="H25" s="2"/>
      <c r="I25" s="19"/>
      <c r="J25" s="11">
        <v>32668</v>
      </c>
      <c r="K25" s="2" t="str">
        <f t="shared" ca="1" si="3"/>
        <v>37 THN 2 BLN</v>
      </c>
      <c r="N25" s="1">
        <v>7</v>
      </c>
    </row>
    <row r="26" spans="1:14" x14ac:dyDescent="0.35">
      <c r="A26" s="2">
        <v>24</v>
      </c>
      <c r="B26" s="2" t="s">
        <v>155</v>
      </c>
      <c r="C26" s="2">
        <v>128</v>
      </c>
      <c r="D26" s="3" t="s">
        <v>24</v>
      </c>
      <c r="E26" s="11">
        <v>42492</v>
      </c>
      <c r="F26" s="2" t="str">
        <f t="shared" ca="1" si="2"/>
        <v>10 THN 3 BLN</v>
      </c>
      <c r="G26" s="3" t="s">
        <v>157</v>
      </c>
      <c r="H26" s="2" t="s">
        <v>106</v>
      </c>
      <c r="I26" s="19"/>
      <c r="J26" s="11">
        <v>33336</v>
      </c>
      <c r="K26" s="2" t="str">
        <f t="shared" ca="1" si="3"/>
        <v>35 THN 4 BLN</v>
      </c>
      <c r="N26" s="1">
        <v>8</v>
      </c>
    </row>
    <row r="27" spans="1:14" x14ac:dyDescent="0.35">
      <c r="A27" s="2">
        <v>25</v>
      </c>
      <c r="B27" s="2" t="s">
        <v>155</v>
      </c>
      <c r="C27" s="12">
        <v>369</v>
      </c>
      <c r="D27" s="3" t="s">
        <v>156</v>
      </c>
      <c r="E27" s="14">
        <v>44088</v>
      </c>
      <c r="F27" s="2" t="str">
        <f t="shared" ca="1" si="2"/>
        <v>5 THN 11 BLN</v>
      </c>
      <c r="G27" s="13" t="s">
        <v>157</v>
      </c>
      <c r="H27" s="2"/>
      <c r="J27" s="11">
        <v>32605</v>
      </c>
      <c r="K27" s="2" t="str">
        <f t="shared" ca="1" si="3"/>
        <v>37 THN 4 BLN</v>
      </c>
      <c r="N27" s="1">
        <v>9</v>
      </c>
    </row>
    <row r="28" spans="1:14" x14ac:dyDescent="0.35">
      <c r="A28" s="2">
        <v>26</v>
      </c>
      <c r="B28" s="2" t="s">
        <v>155</v>
      </c>
      <c r="C28" s="12">
        <v>322</v>
      </c>
      <c r="D28" s="13" t="s">
        <v>84</v>
      </c>
      <c r="E28" s="14">
        <v>43658</v>
      </c>
      <c r="F28" s="2" t="str">
        <f t="shared" ca="1" si="2"/>
        <v>7 THN 1 BLN</v>
      </c>
      <c r="G28" s="15" t="s">
        <v>158</v>
      </c>
      <c r="H28" s="2"/>
      <c r="J28" s="11">
        <v>36884</v>
      </c>
      <c r="K28" s="2" t="str">
        <f t="shared" ca="1" si="3"/>
        <v>25 THN 8 BLN</v>
      </c>
      <c r="N28" s="1">
        <v>10</v>
      </c>
    </row>
    <row r="29" spans="1:14" x14ac:dyDescent="0.35">
      <c r="A29" s="2">
        <v>27</v>
      </c>
      <c r="B29" s="2" t="s">
        <v>155</v>
      </c>
      <c r="C29" s="2">
        <v>372</v>
      </c>
      <c r="D29" s="3" t="s">
        <v>153</v>
      </c>
      <c r="E29" s="11">
        <v>44091</v>
      </c>
      <c r="F29" s="2" t="str">
        <f t="shared" ca="1" si="2"/>
        <v>5 THN 11 BLN</v>
      </c>
      <c r="G29" s="15" t="s">
        <v>159</v>
      </c>
      <c r="H29" s="2"/>
      <c r="I29" s="19"/>
      <c r="J29" s="11">
        <v>37312</v>
      </c>
      <c r="K29" s="2" t="str">
        <f t="shared" ca="1" si="3"/>
        <v>24 THN 6 BLN</v>
      </c>
      <c r="N29" s="1">
        <v>11</v>
      </c>
    </row>
    <row r="30" spans="1:14" x14ac:dyDescent="0.35">
      <c r="A30" s="2">
        <v>28</v>
      </c>
      <c r="B30" s="2" t="s">
        <v>33</v>
      </c>
      <c r="C30" s="12">
        <v>329</v>
      </c>
      <c r="D30" s="13" t="s">
        <v>85</v>
      </c>
      <c r="E30" s="14">
        <v>43701</v>
      </c>
      <c r="F30" s="2" t="str">
        <f t="shared" ca="1" si="0"/>
        <v>7 THN 0 BLN</v>
      </c>
      <c r="G30" s="13" t="s">
        <v>127</v>
      </c>
      <c r="H30" s="2" t="s">
        <v>107</v>
      </c>
      <c r="I30" s="5"/>
      <c r="J30" s="11">
        <v>35392</v>
      </c>
      <c r="K30" s="2" t="str">
        <f t="shared" ca="1" si="1"/>
        <v>29 THN 9 BLN</v>
      </c>
      <c r="N30" s="1">
        <v>12</v>
      </c>
    </row>
    <row r="31" spans="1:14" x14ac:dyDescent="0.35">
      <c r="A31" s="2">
        <v>29</v>
      </c>
      <c r="B31" s="2" t="s">
        <v>33</v>
      </c>
      <c r="C31" s="12">
        <v>348</v>
      </c>
      <c r="D31" s="13" t="s">
        <v>115</v>
      </c>
      <c r="E31" s="14">
        <v>43881</v>
      </c>
      <c r="F31" s="2" t="str">
        <f t="shared" ca="1" si="0"/>
        <v>6 THN 6 BLN</v>
      </c>
      <c r="G31" s="13" t="s">
        <v>127</v>
      </c>
      <c r="H31" s="2"/>
      <c r="I31" s="5"/>
      <c r="J31" s="11">
        <v>35701</v>
      </c>
      <c r="K31" s="2" t="str">
        <f t="shared" ca="1" si="1"/>
        <v>28 THN 11 BLN</v>
      </c>
      <c r="N31" s="1">
        <v>13</v>
      </c>
    </row>
    <row r="32" spans="1:14" x14ac:dyDescent="0.35">
      <c r="A32" s="2">
        <v>30</v>
      </c>
      <c r="B32" s="2" t="s">
        <v>34</v>
      </c>
      <c r="C32" s="2">
        <v>124</v>
      </c>
      <c r="D32" s="3" t="s">
        <v>49</v>
      </c>
      <c r="E32" s="11">
        <v>42462</v>
      </c>
      <c r="F32" s="2" t="str">
        <f t="shared" ca="1" si="0"/>
        <v>10 THN 4 BLN</v>
      </c>
      <c r="G32" s="3" t="s">
        <v>36</v>
      </c>
      <c r="H32" s="2" t="s">
        <v>107</v>
      </c>
      <c r="I32" s="19"/>
      <c r="J32" s="11">
        <v>34799</v>
      </c>
      <c r="K32" s="2" t="str">
        <f t="shared" ca="1" si="1"/>
        <v>31 THN 4 BLN</v>
      </c>
      <c r="N32" s="1">
        <v>14</v>
      </c>
    </row>
    <row r="33" spans="1:14" x14ac:dyDescent="0.35">
      <c r="A33" s="2">
        <v>31</v>
      </c>
      <c r="B33" s="2" t="s">
        <v>34</v>
      </c>
      <c r="C33" s="2">
        <v>212</v>
      </c>
      <c r="D33" s="3" t="s">
        <v>70</v>
      </c>
      <c r="E33" s="11">
        <v>43136</v>
      </c>
      <c r="F33" s="2" t="str">
        <f ca="1">DATEDIF(E33,TODAY(),"Y")&amp; " THN "&amp;DATEDIF(E33,TODAY(),"YM")&amp;" BLN"</f>
        <v>8 THN 6 BLN</v>
      </c>
      <c r="G33" s="3" t="s">
        <v>36</v>
      </c>
      <c r="H33" s="2" t="s">
        <v>107</v>
      </c>
      <c r="I33" s="19"/>
      <c r="J33" s="11">
        <v>33530</v>
      </c>
      <c r="K33" s="2" t="str">
        <f ca="1">DATEDIF(J33,TODAY(),"Y")&amp; " THN "&amp;DATEDIF(J33,TODAY(),"YM")&amp;" BLN"</f>
        <v>34 THN 10 BLN</v>
      </c>
      <c r="N33" s="1">
        <v>15</v>
      </c>
    </row>
    <row r="34" spans="1:14" x14ac:dyDescent="0.35">
      <c r="A34" s="2">
        <v>32</v>
      </c>
      <c r="B34" s="2" t="s">
        <v>34</v>
      </c>
      <c r="C34" s="2">
        <v>28</v>
      </c>
      <c r="D34" s="3" t="s">
        <v>86</v>
      </c>
      <c r="E34" s="11">
        <v>40551</v>
      </c>
      <c r="F34" s="2" t="str">
        <f t="shared" ca="1" si="0"/>
        <v>15 THN 7 BLN</v>
      </c>
      <c r="G34" s="3" t="s">
        <v>128</v>
      </c>
      <c r="H34" s="2" t="s">
        <v>107</v>
      </c>
      <c r="I34" s="19"/>
      <c r="J34" s="11">
        <v>33086</v>
      </c>
      <c r="K34" s="2" t="str">
        <f t="shared" ca="1" si="1"/>
        <v>36 THN 0 BLN</v>
      </c>
      <c r="L34" s="1">
        <v>1</v>
      </c>
    </row>
    <row r="35" spans="1:14" x14ac:dyDescent="0.35">
      <c r="A35" s="2">
        <v>33</v>
      </c>
      <c r="B35" s="2" t="s">
        <v>34</v>
      </c>
      <c r="C35" s="2">
        <v>45</v>
      </c>
      <c r="D35" s="3" t="s">
        <v>37</v>
      </c>
      <c r="E35" s="11">
        <v>41866</v>
      </c>
      <c r="F35" s="2" t="str">
        <f t="shared" ca="1" si="0"/>
        <v>12 THN 0 BLN</v>
      </c>
      <c r="G35" s="3" t="s">
        <v>128</v>
      </c>
      <c r="H35" s="2" t="s">
        <v>107</v>
      </c>
      <c r="I35" s="19"/>
      <c r="J35" s="11">
        <v>33396</v>
      </c>
      <c r="K35" s="2" t="str">
        <f t="shared" ca="1" si="1"/>
        <v>35 THN 2 BLN</v>
      </c>
      <c r="N35" s="1">
        <v>16</v>
      </c>
    </row>
    <row r="36" spans="1:14" x14ac:dyDescent="0.35">
      <c r="A36" s="2">
        <v>34</v>
      </c>
      <c r="B36" s="2" t="s">
        <v>34</v>
      </c>
      <c r="C36" s="2">
        <v>247</v>
      </c>
      <c r="D36" s="3" t="s">
        <v>110</v>
      </c>
      <c r="E36" s="11">
        <v>43325</v>
      </c>
      <c r="F36" s="2" t="str">
        <f t="shared" ca="1" si="0"/>
        <v>8 THN 0 BLN</v>
      </c>
      <c r="G36" s="3" t="s">
        <v>129</v>
      </c>
      <c r="H36" s="2" t="s">
        <v>107</v>
      </c>
      <c r="I36" s="19"/>
      <c r="J36" s="11">
        <v>30443</v>
      </c>
      <c r="K36" s="2" t="str">
        <f t="shared" ca="1" si="1"/>
        <v>43 THN 3 BLN</v>
      </c>
      <c r="N36" s="1">
        <v>17</v>
      </c>
    </row>
    <row r="37" spans="1:14" x14ac:dyDescent="0.35">
      <c r="A37" s="2">
        <v>35</v>
      </c>
      <c r="B37" s="2" t="s">
        <v>34</v>
      </c>
      <c r="C37" s="2">
        <v>171</v>
      </c>
      <c r="D37" s="3" t="s">
        <v>39</v>
      </c>
      <c r="E37" s="11">
        <v>42789</v>
      </c>
      <c r="F37" s="2" t="str">
        <f t="shared" ca="1" si="0"/>
        <v>9 THN 6 BLN</v>
      </c>
      <c r="G37" s="3" t="s">
        <v>129</v>
      </c>
      <c r="H37" s="2" t="s">
        <v>107</v>
      </c>
      <c r="I37" s="19"/>
      <c r="J37" s="11">
        <v>32863</v>
      </c>
      <c r="K37" s="2" t="str">
        <f t="shared" ca="1" si="1"/>
        <v>36 THN 8 BLN</v>
      </c>
      <c r="M37" s="1">
        <v>1</v>
      </c>
    </row>
    <row r="38" spans="1:14" x14ac:dyDescent="0.35">
      <c r="A38" s="2">
        <v>36</v>
      </c>
      <c r="B38" s="2" t="s">
        <v>34</v>
      </c>
      <c r="C38" s="2">
        <v>17</v>
      </c>
      <c r="D38" s="3" t="s">
        <v>47</v>
      </c>
      <c r="E38" s="11">
        <v>41539</v>
      </c>
      <c r="F38" s="2" t="str">
        <f t="shared" ca="1" si="0"/>
        <v>12 THN 11 BLN</v>
      </c>
      <c r="G38" s="3" t="s">
        <v>130</v>
      </c>
      <c r="H38" s="2" t="s">
        <v>107</v>
      </c>
      <c r="I38" s="19"/>
      <c r="J38" s="11">
        <v>33806</v>
      </c>
      <c r="K38" s="2" t="str">
        <f t="shared" ca="1" si="1"/>
        <v>34 THN 1 BLN</v>
      </c>
      <c r="N38" s="1">
        <v>18</v>
      </c>
    </row>
    <row r="39" spans="1:14" x14ac:dyDescent="0.35">
      <c r="A39" s="2">
        <v>37</v>
      </c>
      <c r="B39" s="2" t="s">
        <v>34</v>
      </c>
      <c r="C39" s="2">
        <v>324</v>
      </c>
      <c r="D39" s="3" t="s">
        <v>100</v>
      </c>
      <c r="E39" s="11">
        <v>43678</v>
      </c>
      <c r="F39" s="2" t="str">
        <f ca="1">DATEDIF(E39,TODAY(),"Y")&amp; " THN "&amp;DATEDIF(E39,TODAY(),"YM")&amp;" BLN"</f>
        <v>7 THN 0 BLN</v>
      </c>
      <c r="G39" s="3" t="s">
        <v>130</v>
      </c>
      <c r="H39" s="2" t="s">
        <v>107</v>
      </c>
      <c r="I39" s="19"/>
      <c r="J39" s="11">
        <v>35162</v>
      </c>
      <c r="K39" s="2" t="str">
        <f ca="1">DATEDIF(J39,TODAY(),"Y")&amp; " THN "&amp;DATEDIF(J39,TODAY(),"YM")&amp;" BLN"</f>
        <v>30 THN 4 BLN</v>
      </c>
      <c r="L39" s="1">
        <v>2</v>
      </c>
    </row>
    <row r="40" spans="1:14" x14ac:dyDescent="0.35">
      <c r="A40" s="2">
        <v>38</v>
      </c>
      <c r="B40" s="2" t="s">
        <v>34</v>
      </c>
      <c r="C40" s="2">
        <v>26</v>
      </c>
      <c r="D40" s="3" t="s">
        <v>48</v>
      </c>
      <c r="E40" s="11">
        <v>39015</v>
      </c>
      <c r="F40" s="2" t="str">
        <f t="shared" ca="1" si="0"/>
        <v>19 THN 10 BLN</v>
      </c>
      <c r="G40" s="3" t="s">
        <v>131</v>
      </c>
      <c r="H40" s="2" t="s">
        <v>107</v>
      </c>
      <c r="I40" s="19"/>
      <c r="J40" s="11">
        <v>23255</v>
      </c>
      <c r="K40" s="2" t="str">
        <f t="shared" ca="1" si="1"/>
        <v>62 THN 11 BLN</v>
      </c>
      <c r="M40" s="1">
        <v>2</v>
      </c>
    </row>
    <row r="41" spans="1:14" x14ac:dyDescent="0.35">
      <c r="A41" s="2">
        <v>39</v>
      </c>
      <c r="B41" s="2" t="s">
        <v>34</v>
      </c>
      <c r="C41" s="2">
        <v>239</v>
      </c>
      <c r="D41" s="13" t="s">
        <v>46</v>
      </c>
      <c r="E41" s="14">
        <v>43293</v>
      </c>
      <c r="F41" s="2" t="str">
        <f ca="1">DATEDIF(E41,TODAY(),"Y")&amp; " THN "&amp;DATEDIF(E41,TODAY(),"YM")&amp;" BLN"</f>
        <v>8 THN 1 BLN</v>
      </c>
      <c r="G41" s="3" t="s">
        <v>131</v>
      </c>
      <c r="H41" s="2" t="s">
        <v>107</v>
      </c>
      <c r="I41" s="19"/>
      <c r="J41" s="11">
        <v>29127</v>
      </c>
      <c r="K41" s="2" t="str">
        <f ca="1">DATEDIF(J41,TODAY(),"Y")&amp; " THN "&amp;DATEDIF(J41,TODAY(),"YM")&amp;" BLN"</f>
        <v>46 THN 11 BLN</v>
      </c>
      <c r="M41" s="1">
        <v>3</v>
      </c>
    </row>
    <row r="42" spans="1:14" x14ac:dyDescent="0.35">
      <c r="A42" s="2">
        <v>40</v>
      </c>
      <c r="B42" s="2" t="s">
        <v>34</v>
      </c>
      <c r="C42" s="2">
        <v>304</v>
      </c>
      <c r="D42" s="3" t="s">
        <v>102</v>
      </c>
      <c r="E42" s="11">
        <v>43525</v>
      </c>
      <c r="F42" s="2" t="str">
        <f ca="1">DATEDIF(E42,TODAY(),"Y")&amp; " THN "&amp;DATEDIF(E42,TODAY(),"YM")&amp;" BLN"</f>
        <v>7 THN 5 BLN</v>
      </c>
      <c r="G42" s="3" t="s">
        <v>142</v>
      </c>
      <c r="H42" s="2" t="s">
        <v>106</v>
      </c>
      <c r="I42" s="19"/>
      <c r="J42" s="11">
        <v>34586</v>
      </c>
      <c r="K42" s="2" t="str">
        <f ca="1">DATEDIF(J42,TODAY(),"Y")&amp; " THN "&amp;DATEDIF(J42,TODAY(),"YM")&amp;" BLN"</f>
        <v>31 THN 11 BLN</v>
      </c>
      <c r="N42" s="1">
        <v>19</v>
      </c>
    </row>
    <row r="43" spans="1:14" x14ac:dyDescent="0.35">
      <c r="A43" s="2">
        <v>41</v>
      </c>
      <c r="B43" s="2" t="s">
        <v>34</v>
      </c>
      <c r="C43" s="2">
        <v>306</v>
      </c>
      <c r="D43" s="3" t="s">
        <v>103</v>
      </c>
      <c r="E43" s="11">
        <v>43525</v>
      </c>
      <c r="F43" s="2" t="str">
        <f ca="1">DATEDIF(E43,TODAY(),"Y")&amp; " THN "&amp;DATEDIF(E43,TODAY(),"YM")&amp;" BLN"</f>
        <v>7 THN 5 BLN</v>
      </c>
      <c r="G43" s="3" t="s">
        <v>142</v>
      </c>
      <c r="H43" s="2" t="s">
        <v>106</v>
      </c>
      <c r="I43" s="19"/>
      <c r="J43" s="11">
        <v>34500</v>
      </c>
      <c r="K43" s="2" t="str">
        <f ca="1">DATEDIF(J43,TODAY(),"Y")&amp; " THN "&amp;DATEDIF(J43,TODAY(),"YM")&amp;" BLN"</f>
        <v>32 THN 2 BLN</v>
      </c>
      <c r="N43" s="1">
        <v>20</v>
      </c>
    </row>
    <row r="44" spans="1:14" x14ac:dyDescent="0.35">
      <c r="A44" s="2">
        <v>42</v>
      </c>
      <c r="B44" s="2" t="s">
        <v>34</v>
      </c>
      <c r="C44" s="2">
        <v>307</v>
      </c>
      <c r="D44" s="3" t="s">
        <v>104</v>
      </c>
      <c r="E44" s="11">
        <v>43525</v>
      </c>
      <c r="F44" s="2" t="str">
        <f ca="1">DATEDIF(E44,TODAY(),"Y")&amp; " THN "&amp;DATEDIF(E44,TODAY(),"YM")&amp;" BLN"</f>
        <v>7 THN 5 BLN</v>
      </c>
      <c r="G44" s="3" t="s">
        <v>142</v>
      </c>
      <c r="H44" s="2" t="s">
        <v>106</v>
      </c>
      <c r="I44" s="19"/>
      <c r="J44" s="11">
        <v>35194</v>
      </c>
      <c r="K44" s="2" t="str">
        <f ca="1">DATEDIF(J44,TODAY(),"Y")&amp; " THN "&amp;DATEDIF(J44,TODAY(),"YM")&amp;" BLN"</f>
        <v>30 THN 3 BLN</v>
      </c>
      <c r="N44" s="1">
        <v>21</v>
      </c>
    </row>
    <row r="45" spans="1:14" x14ac:dyDescent="0.35">
      <c r="A45" s="2">
        <v>43</v>
      </c>
      <c r="B45" s="2" t="s">
        <v>34</v>
      </c>
      <c r="C45" s="2">
        <v>363</v>
      </c>
      <c r="D45" s="3" t="s">
        <v>160</v>
      </c>
      <c r="E45" s="11">
        <v>44058</v>
      </c>
      <c r="F45" s="2" t="str">
        <f ca="1">DATEDIF(E45,TODAY(),"Y")&amp; " THN "&amp;DATEDIF(E45,TODAY(),"YM")&amp;" BLN"</f>
        <v>6 THN 0 BLN</v>
      </c>
      <c r="G45" s="3" t="s">
        <v>142</v>
      </c>
      <c r="H45" s="2"/>
      <c r="I45" s="19"/>
      <c r="J45" s="11">
        <v>34407</v>
      </c>
      <c r="K45" s="2" t="str">
        <f ca="1">DATEDIF(J45,TODAY(),"Y")&amp; " THN "&amp;DATEDIF(J45,TODAY(),"YM")&amp;" BLN"</f>
        <v>32 THN 5 BLN</v>
      </c>
      <c r="N45" s="1">
        <v>22</v>
      </c>
    </row>
    <row r="46" spans="1:14" x14ac:dyDescent="0.35">
      <c r="A46" s="2">
        <v>44</v>
      </c>
      <c r="B46" s="2" t="s">
        <v>34</v>
      </c>
      <c r="C46" s="2">
        <v>23</v>
      </c>
      <c r="D46" s="3" t="s">
        <v>40</v>
      </c>
      <c r="E46" s="11">
        <v>36661</v>
      </c>
      <c r="F46" s="2" t="str">
        <f t="shared" ca="1" si="0"/>
        <v>26 THN 3 BLN</v>
      </c>
      <c r="G46" s="3" t="s">
        <v>132</v>
      </c>
      <c r="H46" s="2" t="s">
        <v>107</v>
      </c>
      <c r="I46" s="19"/>
      <c r="J46" s="11">
        <v>27121</v>
      </c>
      <c r="K46" s="2" t="str">
        <f t="shared" ca="1" si="1"/>
        <v>52 THN 4 BLN</v>
      </c>
      <c r="L46" s="1">
        <v>3</v>
      </c>
    </row>
    <row r="47" spans="1:14" x14ac:dyDescent="0.35">
      <c r="A47" s="2">
        <v>45</v>
      </c>
      <c r="B47" s="2" t="s">
        <v>34</v>
      </c>
      <c r="C47" s="2">
        <v>27</v>
      </c>
      <c r="D47" s="3" t="s">
        <v>41</v>
      </c>
      <c r="E47" s="11">
        <v>39756</v>
      </c>
      <c r="F47" s="2" t="str">
        <f t="shared" ca="1" si="0"/>
        <v>17 THN 9 BLN</v>
      </c>
      <c r="G47" s="3" t="s">
        <v>132</v>
      </c>
      <c r="H47" s="2" t="s">
        <v>107</v>
      </c>
      <c r="I47" s="19"/>
      <c r="J47" s="11">
        <v>27968</v>
      </c>
      <c r="K47" s="2" t="str">
        <f t="shared" ca="1" si="1"/>
        <v>50 THN 1 BLN</v>
      </c>
      <c r="L47" s="1">
        <v>4</v>
      </c>
    </row>
    <row r="48" spans="1:14" x14ac:dyDescent="0.35">
      <c r="A48" s="2">
        <v>46</v>
      </c>
      <c r="B48" s="2" t="s">
        <v>34</v>
      </c>
      <c r="C48" s="2">
        <v>39</v>
      </c>
      <c r="D48" s="3" t="s">
        <v>42</v>
      </c>
      <c r="E48" s="11">
        <v>42215</v>
      </c>
      <c r="F48" s="2" t="str">
        <f t="shared" ca="1" si="0"/>
        <v>11 THN 0 BLN</v>
      </c>
      <c r="G48" s="3" t="s">
        <v>132</v>
      </c>
      <c r="H48" s="2" t="s">
        <v>107</v>
      </c>
      <c r="I48" s="19"/>
      <c r="J48" s="11">
        <v>26055</v>
      </c>
      <c r="K48" s="2" t="str">
        <f t="shared" ca="1" si="1"/>
        <v>55 THN 3 BLN</v>
      </c>
      <c r="L48" s="1">
        <v>5</v>
      </c>
    </row>
    <row r="49" spans="1:14" x14ac:dyDescent="0.35">
      <c r="A49" s="2">
        <v>47</v>
      </c>
      <c r="B49" s="2" t="s">
        <v>34</v>
      </c>
      <c r="C49" s="2">
        <v>77</v>
      </c>
      <c r="D49" s="3" t="s">
        <v>43</v>
      </c>
      <c r="E49" s="11">
        <v>42152</v>
      </c>
      <c r="F49" s="2" t="str">
        <f t="shared" ca="1" si="0"/>
        <v>11 THN 3 BLN</v>
      </c>
      <c r="G49" s="3" t="s">
        <v>132</v>
      </c>
      <c r="H49" s="2" t="s">
        <v>107</v>
      </c>
      <c r="I49" s="19"/>
      <c r="J49" s="11">
        <v>25204</v>
      </c>
      <c r="K49" s="2" t="str">
        <f t="shared" ca="1" si="1"/>
        <v>57 THN 7 BLN</v>
      </c>
      <c r="L49" s="1">
        <v>6</v>
      </c>
    </row>
    <row r="50" spans="1:14" x14ac:dyDescent="0.35">
      <c r="A50" s="2">
        <v>48</v>
      </c>
      <c r="B50" s="2" t="s">
        <v>34</v>
      </c>
      <c r="C50" s="2">
        <v>154</v>
      </c>
      <c r="D50" s="3" t="s">
        <v>44</v>
      </c>
      <c r="E50" s="11">
        <v>42752</v>
      </c>
      <c r="F50" s="2" t="str">
        <f t="shared" ca="1" si="0"/>
        <v>9 THN 7 BLN</v>
      </c>
      <c r="G50" s="3" t="s">
        <v>132</v>
      </c>
      <c r="H50" s="2" t="s">
        <v>107</v>
      </c>
      <c r="I50" s="19"/>
      <c r="J50" s="11">
        <v>31111</v>
      </c>
      <c r="K50" s="2" t="str">
        <f t="shared" ca="1" si="1"/>
        <v>41 THN 5 BLN</v>
      </c>
      <c r="L50" s="1">
        <v>7</v>
      </c>
    </row>
    <row r="51" spans="1:14" x14ac:dyDescent="0.35">
      <c r="A51" s="2">
        <v>49</v>
      </c>
      <c r="B51" s="2" t="s">
        <v>34</v>
      </c>
      <c r="C51" s="2">
        <v>157</v>
      </c>
      <c r="D51" s="3" t="s">
        <v>45</v>
      </c>
      <c r="E51" s="11">
        <v>42753</v>
      </c>
      <c r="F51" s="2" t="str">
        <f t="shared" ca="1" si="0"/>
        <v>9 THN 7 BLN</v>
      </c>
      <c r="G51" s="3" t="s">
        <v>132</v>
      </c>
      <c r="H51" s="2" t="s">
        <v>107</v>
      </c>
      <c r="I51" s="19"/>
      <c r="J51" s="11">
        <v>31672</v>
      </c>
      <c r="K51" s="2" t="str">
        <f t="shared" ca="1" si="1"/>
        <v>39 THN 11 BLN</v>
      </c>
      <c r="M51" s="1">
        <v>4</v>
      </c>
    </row>
    <row r="52" spans="1:14" x14ac:dyDescent="0.35">
      <c r="A52" s="2">
        <v>50</v>
      </c>
      <c r="B52" s="2" t="s">
        <v>34</v>
      </c>
      <c r="C52" s="2">
        <v>243</v>
      </c>
      <c r="D52" s="3" t="s">
        <v>58</v>
      </c>
      <c r="E52" s="11">
        <v>43302</v>
      </c>
      <c r="F52" s="2" t="str">
        <f t="shared" ca="1" si="0"/>
        <v>8 THN 1 BLN</v>
      </c>
      <c r="G52" s="3" t="s">
        <v>133</v>
      </c>
      <c r="H52" s="2" t="s">
        <v>107</v>
      </c>
      <c r="I52" s="19"/>
      <c r="J52" s="11">
        <v>36649</v>
      </c>
      <c r="K52" s="2" t="str">
        <f t="shared" ca="1" si="1"/>
        <v>26 THN 3 BLN</v>
      </c>
      <c r="M52" s="1">
        <v>5</v>
      </c>
    </row>
    <row r="53" spans="1:14" x14ac:dyDescent="0.35">
      <c r="A53" s="2">
        <v>51</v>
      </c>
      <c r="B53" s="2" t="s">
        <v>34</v>
      </c>
      <c r="C53" s="2">
        <v>375</v>
      </c>
      <c r="D53" s="3" t="s">
        <v>169</v>
      </c>
      <c r="E53" s="11">
        <v>44109</v>
      </c>
      <c r="F53" s="2" t="str">
        <f t="shared" ca="1" si="0"/>
        <v>5 THN 10 BLN</v>
      </c>
      <c r="G53" s="3" t="s">
        <v>133</v>
      </c>
      <c r="H53" s="2"/>
      <c r="I53" s="19"/>
      <c r="J53" s="11">
        <v>31475</v>
      </c>
      <c r="K53" s="2" t="str">
        <f t="shared" ca="1" si="1"/>
        <v>40 THN 5 BLN</v>
      </c>
      <c r="L53" s="1">
        <v>8</v>
      </c>
    </row>
    <row r="54" spans="1:14" x14ac:dyDescent="0.35">
      <c r="A54" s="2">
        <v>52</v>
      </c>
      <c r="B54" s="2" t="s">
        <v>34</v>
      </c>
      <c r="C54" s="2">
        <v>202</v>
      </c>
      <c r="D54" s="3" t="s">
        <v>50</v>
      </c>
      <c r="E54" s="11">
        <v>42903</v>
      </c>
      <c r="F54" s="2" t="str">
        <f t="shared" ca="1" si="0"/>
        <v>9 THN 2 BLN</v>
      </c>
      <c r="G54" s="3" t="s">
        <v>134</v>
      </c>
      <c r="H54" s="2" t="s">
        <v>107</v>
      </c>
      <c r="I54" s="19"/>
      <c r="J54" s="11">
        <v>34213</v>
      </c>
      <c r="K54" s="2" t="str">
        <f t="shared" ca="1" si="1"/>
        <v>32 THN 11 BLN</v>
      </c>
      <c r="N54" s="1">
        <v>23</v>
      </c>
    </row>
    <row r="55" spans="1:14" x14ac:dyDescent="0.35">
      <c r="A55" s="2">
        <v>53</v>
      </c>
      <c r="B55" s="2" t="s">
        <v>34</v>
      </c>
      <c r="C55" s="2">
        <v>303</v>
      </c>
      <c r="D55" s="3" t="s">
        <v>51</v>
      </c>
      <c r="E55" s="11">
        <v>43150</v>
      </c>
      <c r="F55" s="2" t="str">
        <f t="shared" ca="1" si="0"/>
        <v>8 THN 6 BLN</v>
      </c>
      <c r="G55" s="3" t="s">
        <v>134</v>
      </c>
      <c r="H55" s="2" t="s">
        <v>107</v>
      </c>
      <c r="I55" s="19"/>
      <c r="J55" s="11">
        <v>30297</v>
      </c>
      <c r="K55" s="2" t="str">
        <f t="shared" ca="1" si="1"/>
        <v>43 THN 8 BLN</v>
      </c>
      <c r="N55" s="1">
        <v>24</v>
      </c>
    </row>
    <row r="56" spans="1:14" x14ac:dyDescent="0.35">
      <c r="A56" s="2">
        <v>54</v>
      </c>
      <c r="B56" s="2" t="s">
        <v>34</v>
      </c>
      <c r="C56" s="2">
        <v>230</v>
      </c>
      <c r="D56" s="3" t="s">
        <v>52</v>
      </c>
      <c r="E56" s="11">
        <v>43192</v>
      </c>
      <c r="F56" s="2" t="str">
        <f t="shared" ca="1" si="0"/>
        <v>8 THN 4 BLN</v>
      </c>
      <c r="G56" s="3" t="s">
        <v>134</v>
      </c>
      <c r="H56" s="2" t="s">
        <v>107</v>
      </c>
      <c r="I56" s="19"/>
      <c r="J56" s="11">
        <v>33134</v>
      </c>
      <c r="K56" s="2" t="str">
        <f t="shared" ca="1" si="1"/>
        <v>35 THN 11 BLN</v>
      </c>
      <c r="N56" s="1">
        <v>25</v>
      </c>
    </row>
    <row r="57" spans="1:14" x14ac:dyDescent="0.35">
      <c r="A57" s="2">
        <v>55</v>
      </c>
      <c r="B57" s="2" t="s">
        <v>34</v>
      </c>
      <c r="C57" s="2">
        <v>236</v>
      </c>
      <c r="D57" s="3" t="s">
        <v>53</v>
      </c>
      <c r="E57" s="11">
        <v>43290</v>
      </c>
      <c r="F57" s="2" t="str">
        <f t="shared" ca="1" si="0"/>
        <v>8 THN 1 BLN</v>
      </c>
      <c r="G57" s="3" t="s">
        <v>134</v>
      </c>
      <c r="H57" s="2" t="s">
        <v>107</v>
      </c>
      <c r="I57" s="19"/>
      <c r="J57" s="11">
        <v>35990</v>
      </c>
      <c r="K57" s="2" t="str">
        <f t="shared" ca="1" si="1"/>
        <v>28 THN 1 BLN</v>
      </c>
      <c r="N57" s="1">
        <v>26</v>
      </c>
    </row>
    <row r="58" spans="1:14" x14ac:dyDescent="0.35">
      <c r="A58" s="2">
        <v>56</v>
      </c>
      <c r="B58" s="2" t="s">
        <v>34</v>
      </c>
      <c r="C58" s="2">
        <v>346</v>
      </c>
      <c r="D58" s="3" t="s">
        <v>119</v>
      </c>
      <c r="E58" s="11">
        <v>43878</v>
      </c>
      <c r="F58" s="2" t="str">
        <f t="shared" ca="1" si="0"/>
        <v>6 THN 6 BLN</v>
      </c>
      <c r="G58" s="3" t="s">
        <v>134</v>
      </c>
      <c r="H58" s="2"/>
      <c r="I58" s="19"/>
      <c r="J58" s="11">
        <v>35807</v>
      </c>
      <c r="K58" s="2" t="str">
        <f t="shared" ca="1" si="1"/>
        <v>28 THN 7 BLN</v>
      </c>
      <c r="N58" s="1">
        <v>27</v>
      </c>
    </row>
    <row r="59" spans="1:14" x14ac:dyDescent="0.35">
      <c r="A59" s="2">
        <v>57</v>
      </c>
      <c r="B59" s="2" t="s">
        <v>34</v>
      </c>
      <c r="C59" s="2">
        <v>365</v>
      </c>
      <c r="D59" s="3" t="s">
        <v>165</v>
      </c>
      <c r="E59" s="11">
        <v>44069</v>
      </c>
      <c r="F59" s="2" t="str">
        <f t="shared" ca="1" si="0"/>
        <v>6 THN 0 BLN</v>
      </c>
      <c r="G59" s="15" t="s">
        <v>168</v>
      </c>
      <c r="H59" s="2"/>
      <c r="I59" s="19"/>
      <c r="J59" s="11">
        <v>37322</v>
      </c>
      <c r="K59" s="2" t="str">
        <f t="shared" ca="1" si="1"/>
        <v>24 THN 5 BLN</v>
      </c>
      <c r="N59" s="1">
        <v>28</v>
      </c>
    </row>
    <row r="60" spans="1:14" x14ac:dyDescent="0.35">
      <c r="A60" s="2">
        <v>58</v>
      </c>
      <c r="B60" s="2" t="s">
        <v>34</v>
      </c>
      <c r="C60" s="2">
        <v>366</v>
      </c>
      <c r="D60" s="3" t="s">
        <v>166</v>
      </c>
      <c r="E60" s="11">
        <v>44069</v>
      </c>
      <c r="F60" s="2" t="str">
        <f t="shared" ca="1" si="0"/>
        <v>6 THN 0 BLN</v>
      </c>
      <c r="G60" s="15" t="s">
        <v>168</v>
      </c>
      <c r="H60" s="2"/>
      <c r="I60" s="19"/>
      <c r="J60" s="11">
        <v>35873</v>
      </c>
      <c r="K60" s="2" t="str">
        <f t="shared" ca="1" si="1"/>
        <v>28 THN 5 BLN</v>
      </c>
      <c r="N60" s="1">
        <v>29</v>
      </c>
    </row>
    <row r="61" spans="1:14" x14ac:dyDescent="0.35">
      <c r="A61" s="2">
        <v>59</v>
      </c>
      <c r="B61" s="2" t="s">
        <v>34</v>
      </c>
      <c r="C61" s="2">
        <v>374</v>
      </c>
      <c r="D61" s="3" t="s">
        <v>163</v>
      </c>
      <c r="E61" s="11">
        <v>44102</v>
      </c>
      <c r="F61" s="2" t="str">
        <f t="shared" ca="1" si="0"/>
        <v>5 THN 11 BLN</v>
      </c>
      <c r="G61" s="3" t="s">
        <v>161</v>
      </c>
      <c r="H61" s="2"/>
      <c r="I61" s="19"/>
      <c r="J61" s="11">
        <v>37006</v>
      </c>
      <c r="K61" s="2" t="str">
        <f t="shared" ca="1" si="1"/>
        <v>25 THN 4 BLN</v>
      </c>
      <c r="N61" s="1">
        <v>30</v>
      </c>
    </row>
    <row r="62" spans="1:14" x14ac:dyDescent="0.35">
      <c r="A62" s="2">
        <v>60</v>
      </c>
      <c r="B62" s="2" t="s">
        <v>34</v>
      </c>
      <c r="C62" s="2">
        <v>362</v>
      </c>
      <c r="D62" s="3" t="s">
        <v>164</v>
      </c>
      <c r="E62" s="11">
        <v>44058</v>
      </c>
      <c r="F62" s="2" t="str">
        <f t="shared" ca="1" si="0"/>
        <v>6 THN 0 BLN</v>
      </c>
      <c r="G62" s="3" t="s">
        <v>162</v>
      </c>
      <c r="H62" s="2"/>
      <c r="I62" s="19"/>
      <c r="J62" s="11">
        <v>36884</v>
      </c>
      <c r="K62" s="2" t="str">
        <f t="shared" ca="1" si="1"/>
        <v>25 THN 8 BLN</v>
      </c>
      <c r="N62" s="1">
        <v>31</v>
      </c>
    </row>
    <row r="63" spans="1:14" x14ac:dyDescent="0.35">
      <c r="A63" s="2">
        <v>61</v>
      </c>
      <c r="B63" s="2" t="s">
        <v>34</v>
      </c>
      <c r="C63" s="2">
        <v>370</v>
      </c>
      <c r="D63" s="3" t="s">
        <v>167</v>
      </c>
      <c r="E63" s="11">
        <v>44088</v>
      </c>
      <c r="F63" s="2" t="str">
        <f t="shared" ca="1" si="0"/>
        <v>5 THN 11 BLN</v>
      </c>
      <c r="G63" s="3" t="s">
        <v>162</v>
      </c>
      <c r="H63" s="2"/>
      <c r="I63" s="19"/>
      <c r="J63" s="11">
        <v>35598</v>
      </c>
      <c r="K63" s="2" t="str">
        <f t="shared" ca="1" si="1"/>
        <v>29 THN 2 BLN</v>
      </c>
      <c r="N63" s="1">
        <v>32</v>
      </c>
    </row>
    <row r="64" spans="1:14" x14ac:dyDescent="0.35">
      <c r="A64" s="2">
        <v>62</v>
      </c>
      <c r="B64" s="2" t="s">
        <v>88</v>
      </c>
      <c r="C64" s="2">
        <v>273</v>
      </c>
      <c r="D64" s="3" t="s">
        <v>89</v>
      </c>
      <c r="E64" s="11">
        <v>43452</v>
      </c>
      <c r="F64" s="2" t="str">
        <f t="shared" ca="1" si="0"/>
        <v>7 THN 8 BLN</v>
      </c>
      <c r="G64" s="3" t="s">
        <v>87</v>
      </c>
      <c r="H64" s="2" t="s">
        <v>106</v>
      </c>
      <c r="I64" s="19"/>
      <c r="J64" s="11">
        <v>33273</v>
      </c>
      <c r="K64" s="2" t="str">
        <f t="shared" ca="1" si="1"/>
        <v>35 THN 6 BLN</v>
      </c>
    </row>
    <row r="65" spans="1:14" x14ac:dyDescent="0.35">
      <c r="A65" s="2">
        <v>63</v>
      </c>
      <c r="B65" s="2" t="s">
        <v>88</v>
      </c>
      <c r="C65" s="2">
        <v>40</v>
      </c>
      <c r="D65" s="3" t="s">
        <v>54</v>
      </c>
      <c r="E65" s="11">
        <v>41524</v>
      </c>
      <c r="F65" s="2" t="str">
        <f t="shared" ca="1" si="0"/>
        <v>12 THN 11 BLN</v>
      </c>
      <c r="G65" s="3" t="s">
        <v>135</v>
      </c>
      <c r="H65" s="2" t="s">
        <v>107</v>
      </c>
      <c r="I65" s="19"/>
      <c r="J65" s="11">
        <v>35382</v>
      </c>
      <c r="K65" s="2" t="str">
        <f t="shared" ca="1" si="1"/>
        <v>29 THN 9 BLN</v>
      </c>
      <c r="M65" s="1">
        <v>6</v>
      </c>
    </row>
    <row r="66" spans="1:14" x14ac:dyDescent="0.35">
      <c r="A66" s="2">
        <v>64</v>
      </c>
      <c r="B66" s="2" t="s">
        <v>88</v>
      </c>
      <c r="C66" s="2">
        <v>82</v>
      </c>
      <c r="D66" s="3" t="s">
        <v>38</v>
      </c>
      <c r="E66" s="11">
        <v>42212</v>
      </c>
      <c r="F66" s="2" t="str">
        <f t="shared" ca="1" si="0"/>
        <v>11 THN 1 BLN</v>
      </c>
      <c r="G66" s="3" t="s">
        <v>135</v>
      </c>
      <c r="H66" s="2" t="s">
        <v>107</v>
      </c>
      <c r="I66" s="19"/>
      <c r="J66" s="11">
        <v>34624</v>
      </c>
      <c r="K66" s="2" t="str">
        <f t="shared" ca="1" si="1"/>
        <v>31 THN 10 BLN</v>
      </c>
      <c r="M66" s="1">
        <v>7</v>
      </c>
    </row>
    <row r="67" spans="1:14" x14ac:dyDescent="0.35">
      <c r="A67" s="2">
        <v>65</v>
      </c>
      <c r="B67" s="2" t="s">
        <v>88</v>
      </c>
      <c r="C67" s="2">
        <v>36</v>
      </c>
      <c r="D67" s="3" t="s">
        <v>55</v>
      </c>
      <c r="E67" s="11">
        <v>41858</v>
      </c>
      <c r="F67" s="2" t="str">
        <f t="shared" ca="1" si="0"/>
        <v>12 THN 0 BLN</v>
      </c>
      <c r="G67" s="3" t="s">
        <v>136</v>
      </c>
      <c r="H67" s="2" t="s">
        <v>107</v>
      </c>
      <c r="I67" s="19"/>
      <c r="J67" s="11">
        <v>30746</v>
      </c>
      <c r="K67" s="2" t="str">
        <f t="shared" ca="1" si="1"/>
        <v>42 THN 5 BLN</v>
      </c>
      <c r="L67" s="1">
        <v>9</v>
      </c>
      <c r="M67" s="1">
        <v>8</v>
      </c>
    </row>
    <row r="68" spans="1:14" x14ac:dyDescent="0.35">
      <c r="A68" s="2">
        <v>66</v>
      </c>
      <c r="B68" s="2" t="s">
        <v>88</v>
      </c>
      <c r="C68" s="2">
        <v>101</v>
      </c>
      <c r="D68" s="3" t="s">
        <v>56</v>
      </c>
      <c r="E68" s="11">
        <v>42522</v>
      </c>
      <c r="F68" s="2" t="str">
        <f t="shared" ca="1" si="0"/>
        <v>10 THN 2 BLN</v>
      </c>
      <c r="G68" s="3" t="s">
        <v>136</v>
      </c>
      <c r="H68" s="2" t="s">
        <v>107</v>
      </c>
      <c r="I68" s="19"/>
      <c r="J68" s="11">
        <v>29395</v>
      </c>
      <c r="K68" s="2" t="str">
        <f t="shared" ca="1" si="1"/>
        <v>46 THN 2 BLN</v>
      </c>
      <c r="M68" s="1">
        <v>9</v>
      </c>
    </row>
    <row r="69" spans="1:14" x14ac:dyDescent="0.35">
      <c r="A69" s="2">
        <v>67</v>
      </c>
      <c r="B69" s="2" t="s">
        <v>88</v>
      </c>
      <c r="C69" s="2">
        <v>161</v>
      </c>
      <c r="D69" s="3" t="s">
        <v>57</v>
      </c>
      <c r="E69" s="11">
        <v>42756</v>
      </c>
      <c r="F69" s="2" t="str">
        <f t="shared" ca="1" si="0"/>
        <v>9 THN 7 BLN</v>
      </c>
      <c r="G69" s="3" t="s">
        <v>136</v>
      </c>
      <c r="H69" s="2" t="s">
        <v>107</v>
      </c>
      <c r="I69" s="19"/>
      <c r="J69" s="11">
        <v>34945</v>
      </c>
      <c r="K69" s="2" t="str">
        <f t="shared" ca="1" si="1"/>
        <v>30 THN 11 BLN</v>
      </c>
      <c r="M69" s="1">
        <v>10</v>
      </c>
    </row>
    <row r="70" spans="1:14" x14ac:dyDescent="0.35">
      <c r="A70" s="2">
        <v>68</v>
      </c>
      <c r="B70" s="2" t="s">
        <v>88</v>
      </c>
      <c r="C70" s="2">
        <v>360</v>
      </c>
      <c r="D70" s="3" t="s">
        <v>170</v>
      </c>
      <c r="E70" s="11">
        <v>44047</v>
      </c>
      <c r="F70" s="2" t="str">
        <f t="shared" ca="1" si="0"/>
        <v>6 THN 0 BLN</v>
      </c>
      <c r="G70" s="15" t="s">
        <v>171</v>
      </c>
      <c r="H70" s="2"/>
      <c r="I70" s="19"/>
      <c r="J70" s="11">
        <v>36658</v>
      </c>
      <c r="K70" s="2" t="str">
        <f t="shared" ca="1" si="1"/>
        <v>26 THN 3 BLN</v>
      </c>
      <c r="M70" s="1">
        <v>11</v>
      </c>
    </row>
    <row r="71" spans="1:14" x14ac:dyDescent="0.35">
      <c r="A71" s="2">
        <v>69</v>
      </c>
      <c r="B71" s="2" t="s">
        <v>88</v>
      </c>
      <c r="C71" s="2">
        <v>376</v>
      </c>
      <c r="D71" s="3" t="s">
        <v>172</v>
      </c>
      <c r="E71" s="11">
        <v>44109</v>
      </c>
      <c r="F71" s="2" t="str">
        <f t="shared" ca="1" si="0"/>
        <v>5 THN 10 BLN</v>
      </c>
      <c r="G71" s="15" t="s">
        <v>171</v>
      </c>
      <c r="H71" s="2"/>
      <c r="I71" s="19"/>
      <c r="J71" s="11">
        <v>30221</v>
      </c>
      <c r="K71" s="2" t="str">
        <f t="shared" ca="1" si="1"/>
        <v>43 THN 11 BLN</v>
      </c>
      <c r="M71" s="1">
        <v>12</v>
      </c>
    </row>
    <row r="72" spans="1:14" x14ac:dyDescent="0.35">
      <c r="A72" s="2">
        <v>70</v>
      </c>
      <c r="B72" s="2" t="s">
        <v>90</v>
      </c>
      <c r="C72" s="2">
        <v>3</v>
      </c>
      <c r="D72" s="3" t="s">
        <v>61</v>
      </c>
      <c r="E72" s="11">
        <v>35846</v>
      </c>
      <c r="F72" s="2" t="str">
        <f t="shared" ca="1" si="0"/>
        <v>28 THN 6 BLN</v>
      </c>
      <c r="G72" s="3" t="s">
        <v>62</v>
      </c>
      <c r="H72" s="2" t="s">
        <v>107</v>
      </c>
      <c r="I72" s="19"/>
      <c r="J72" s="11">
        <v>27161</v>
      </c>
      <c r="K72" s="2" t="str">
        <f t="shared" ca="1" si="1"/>
        <v>52 THN 3 BLN</v>
      </c>
      <c r="N72" s="1">
        <v>33</v>
      </c>
    </row>
    <row r="73" spans="1:14" x14ac:dyDescent="0.35">
      <c r="A73" s="2">
        <v>71</v>
      </c>
      <c r="B73" s="2" t="s">
        <v>90</v>
      </c>
      <c r="C73" s="2">
        <v>180</v>
      </c>
      <c r="D73" s="3" t="s">
        <v>63</v>
      </c>
      <c r="E73" s="11">
        <v>42793</v>
      </c>
      <c r="F73" s="2" t="str">
        <f t="shared" ca="1" si="0"/>
        <v>9 THN 6 BLN</v>
      </c>
      <c r="G73" s="3" t="s">
        <v>137</v>
      </c>
      <c r="H73" s="2" t="s">
        <v>107</v>
      </c>
      <c r="I73" s="19"/>
      <c r="J73" s="11">
        <v>34893</v>
      </c>
      <c r="K73" s="2" t="str">
        <f t="shared" ca="1" si="1"/>
        <v>31 THN 1 BLN</v>
      </c>
      <c r="N73" s="1">
        <v>34</v>
      </c>
    </row>
    <row r="74" spans="1:14" x14ac:dyDescent="0.35">
      <c r="A74" s="2">
        <v>72</v>
      </c>
      <c r="B74" s="2" t="s">
        <v>90</v>
      </c>
      <c r="C74" s="2">
        <v>205</v>
      </c>
      <c r="D74" s="3" t="s">
        <v>64</v>
      </c>
      <c r="E74" s="11">
        <v>42954</v>
      </c>
      <c r="F74" s="2" t="str">
        <f t="shared" ca="1" si="0"/>
        <v>9 THN 0 BLN</v>
      </c>
      <c r="G74" s="3" t="s">
        <v>137</v>
      </c>
      <c r="H74" s="2" t="s">
        <v>107</v>
      </c>
      <c r="I74" s="19"/>
      <c r="J74" s="11">
        <v>32608</v>
      </c>
      <c r="K74" s="2" t="str">
        <f t="shared" ca="1" si="1"/>
        <v>37 THN 4 BLN</v>
      </c>
      <c r="N74" s="1">
        <v>35</v>
      </c>
    </row>
    <row r="75" spans="1:14" x14ac:dyDescent="0.35">
      <c r="A75" s="2">
        <v>73</v>
      </c>
      <c r="B75" s="2" t="s">
        <v>90</v>
      </c>
      <c r="C75" s="2">
        <v>263</v>
      </c>
      <c r="D75" s="3" t="s">
        <v>65</v>
      </c>
      <c r="E75" s="11">
        <v>43347</v>
      </c>
      <c r="F75" s="2" t="str">
        <f t="shared" ca="1" si="0"/>
        <v>7 THN 11 BLN</v>
      </c>
      <c r="G75" s="3" t="s">
        <v>138</v>
      </c>
      <c r="H75" s="2" t="s">
        <v>107</v>
      </c>
      <c r="I75" s="19"/>
      <c r="J75" s="11">
        <v>33595</v>
      </c>
      <c r="K75" s="2" t="str">
        <f t="shared" ca="1" si="1"/>
        <v>34 THN 8 BLN</v>
      </c>
      <c r="N75" s="1">
        <v>36</v>
      </c>
    </row>
    <row r="76" spans="1:14" x14ac:dyDescent="0.35">
      <c r="A76" s="2">
        <v>74</v>
      </c>
      <c r="B76" s="2" t="s">
        <v>90</v>
      </c>
      <c r="C76" s="2">
        <v>234</v>
      </c>
      <c r="D76" s="3" t="s">
        <v>66</v>
      </c>
      <c r="E76" s="11">
        <v>43290</v>
      </c>
      <c r="F76" s="2" t="str">
        <f t="shared" ca="1" si="0"/>
        <v>8 THN 1 BLN</v>
      </c>
      <c r="G76" s="3" t="s">
        <v>138</v>
      </c>
      <c r="H76" s="2" t="s">
        <v>107</v>
      </c>
      <c r="I76" s="19"/>
      <c r="J76" s="11">
        <v>34321</v>
      </c>
      <c r="K76" s="2" t="str">
        <f t="shared" ca="1" si="1"/>
        <v>32 THN 8 BLN</v>
      </c>
      <c r="N76" s="1">
        <v>37</v>
      </c>
    </row>
    <row r="77" spans="1:14" x14ac:dyDescent="0.35">
      <c r="A77" s="2">
        <v>75</v>
      </c>
      <c r="B77" s="2" t="s">
        <v>90</v>
      </c>
      <c r="C77" s="12">
        <v>298</v>
      </c>
      <c r="D77" s="13" t="s">
        <v>91</v>
      </c>
      <c r="E77" s="14">
        <v>43518</v>
      </c>
      <c r="F77" s="2" t="str">
        <f t="shared" ca="1" si="0"/>
        <v>7 THN 6 BLN</v>
      </c>
      <c r="G77" s="3" t="s">
        <v>139</v>
      </c>
      <c r="H77" s="2" t="s">
        <v>107</v>
      </c>
      <c r="I77" s="19"/>
      <c r="J77" s="11">
        <v>35156</v>
      </c>
      <c r="K77" s="2" t="str">
        <f t="shared" ca="1" si="1"/>
        <v>30 THN 4 BLN</v>
      </c>
      <c r="N77" s="1">
        <v>38</v>
      </c>
    </row>
    <row r="78" spans="1:14" x14ac:dyDescent="0.35">
      <c r="A78" s="2">
        <v>76</v>
      </c>
      <c r="B78" s="2" t="s">
        <v>90</v>
      </c>
      <c r="C78" s="12">
        <v>373</v>
      </c>
      <c r="D78" s="3" t="s">
        <v>173</v>
      </c>
      <c r="E78" s="14">
        <v>44095</v>
      </c>
      <c r="F78" s="2" t="str">
        <f t="shared" ca="1" si="0"/>
        <v>5 THN 11 BLN</v>
      </c>
      <c r="G78" s="3" t="s">
        <v>138</v>
      </c>
      <c r="H78" s="2"/>
      <c r="I78" s="19"/>
      <c r="J78" s="11">
        <v>34865</v>
      </c>
      <c r="K78" s="2" t="str">
        <f t="shared" ca="1" si="1"/>
        <v>31 THN 2 BLN</v>
      </c>
      <c r="N78" s="1">
        <v>39</v>
      </c>
    </row>
    <row r="79" spans="1:14" x14ac:dyDescent="0.35">
      <c r="A79" s="2">
        <v>77</v>
      </c>
      <c r="B79" s="2" t="s">
        <v>90</v>
      </c>
      <c r="C79" s="12">
        <v>352</v>
      </c>
      <c r="D79" s="13" t="s">
        <v>116</v>
      </c>
      <c r="E79" s="14">
        <v>43901</v>
      </c>
      <c r="F79" s="2" t="str">
        <f t="shared" ca="1" si="0"/>
        <v>6 THN 5 BLN</v>
      </c>
      <c r="G79" s="3" t="s">
        <v>67</v>
      </c>
      <c r="H79" s="2"/>
      <c r="I79" s="19"/>
      <c r="J79" s="11">
        <v>34468</v>
      </c>
      <c r="K79" s="2" t="str">
        <f t="shared" ca="1" si="1"/>
        <v>32 THN 3 BLN</v>
      </c>
      <c r="N79" s="1">
        <v>40</v>
      </c>
    </row>
    <row r="80" spans="1:14" x14ac:dyDescent="0.35">
      <c r="A80" s="2">
        <v>78</v>
      </c>
      <c r="B80" s="2" t="s">
        <v>90</v>
      </c>
      <c r="C80" s="12">
        <v>367</v>
      </c>
      <c r="D80" s="3" t="s">
        <v>174</v>
      </c>
      <c r="E80" s="14">
        <v>44070</v>
      </c>
      <c r="F80" s="2" t="str">
        <f t="shared" ca="1" si="0"/>
        <v>6 THN 0 BLN</v>
      </c>
      <c r="G80" s="3" t="s">
        <v>67</v>
      </c>
      <c r="H80" s="2"/>
      <c r="I80" s="19"/>
      <c r="J80" s="11">
        <v>37165</v>
      </c>
      <c r="K80" s="2" t="str">
        <f t="shared" ca="1" si="1"/>
        <v>24 THN 10 BLN</v>
      </c>
      <c r="N80" s="1">
        <v>41</v>
      </c>
    </row>
    <row r="81" spans="1:14" x14ac:dyDescent="0.35">
      <c r="A81" s="2">
        <v>79</v>
      </c>
      <c r="B81" s="2" t="s">
        <v>69</v>
      </c>
      <c r="C81" s="2">
        <v>25</v>
      </c>
      <c r="D81" s="3" t="s">
        <v>35</v>
      </c>
      <c r="E81" s="11">
        <v>38544</v>
      </c>
      <c r="F81" s="2" t="str">
        <f ca="1">DATEDIF(E81,TODAY(),"Y")&amp; " THN "&amp;DATEDIF(E81,TODAY(),"YM")&amp;" BLN"</f>
        <v>21 THN 1 BLN</v>
      </c>
      <c r="G81" s="3" t="s">
        <v>36</v>
      </c>
      <c r="H81" s="2" t="s">
        <v>106</v>
      </c>
      <c r="I81" s="19"/>
      <c r="J81" s="11">
        <v>32686</v>
      </c>
      <c r="K81" s="2" t="str">
        <f ca="1">DATEDIF(J81,TODAY(),"Y")&amp; " THN "&amp;DATEDIF(J81,TODAY(),"YM")&amp;" BLN"</f>
        <v>37 THN 2 BLN</v>
      </c>
    </row>
    <row r="82" spans="1:14" x14ac:dyDescent="0.35">
      <c r="A82" s="2">
        <v>80</v>
      </c>
      <c r="B82" s="2" t="s">
        <v>69</v>
      </c>
      <c r="C82" s="2">
        <v>33</v>
      </c>
      <c r="D82" s="3" t="s">
        <v>71</v>
      </c>
      <c r="E82" s="11">
        <v>41862</v>
      </c>
      <c r="F82" s="2" t="str">
        <f t="shared" ref="F82:F92" ca="1" si="4">DATEDIF(E82,TODAY(),"Y")&amp; " THN "&amp;DATEDIF(E82,TODAY(),"YM")&amp;" BLN"</f>
        <v>12 THN 0 BLN</v>
      </c>
      <c r="G82" s="3" t="s">
        <v>72</v>
      </c>
      <c r="H82" s="2" t="s">
        <v>107</v>
      </c>
      <c r="I82" s="19"/>
      <c r="J82" s="11">
        <v>25423</v>
      </c>
      <c r="K82" s="2" t="str">
        <f t="shared" ref="K82:K92" ca="1" si="5">DATEDIF(J82,TODAY(),"Y")&amp; " THN "&amp;DATEDIF(J82,TODAY(),"YM")&amp;" BLN"</f>
        <v>57 THN 0 BLN</v>
      </c>
    </row>
    <row r="83" spans="1:14" x14ac:dyDescent="0.35">
      <c r="A83" s="2">
        <v>81</v>
      </c>
      <c r="B83" s="2" t="s">
        <v>69</v>
      </c>
      <c r="C83" s="2">
        <v>10</v>
      </c>
      <c r="D83" s="3" t="s">
        <v>73</v>
      </c>
      <c r="E83" s="11">
        <v>40463</v>
      </c>
      <c r="F83" s="2" t="str">
        <f t="shared" ca="1" si="4"/>
        <v>15 THN 10 BLN</v>
      </c>
      <c r="G83" s="3" t="s">
        <v>140</v>
      </c>
      <c r="H83" s="2" t="s">
        <v>107</v>
      </c>
      <c r="I83" s="19"/>
      <c r="J83" s="11">
        <v>28361</v>
      </c>
      <c r="K83" s="2" t="str">
        <f t="shared" ca="1" si="5"/>
        <v>49 THN 0 BLN</v>
      </c>
    </row>
    <row r="84" spans="1:14" x14ac:dyDescent="0.35">
      <c r="A84" s="2">
        <v>82</v>
      </c>
      <c r="B84" s="2" t="s">
        <v>69</v>
      </c>
      <c r="C84" s="2">
        <v>341</v>
      </c>
      <c r="D84" s="3" t="s">
        <v>118</v>
      </c>
      <c r="E84" s="11">
        <v>43823</v>
      </c>
      <c r="F84" s="2" t="str">
        <f t="shared" ca="1" si="4"/>
        <v>6 THN 8 BLN</v>
      </c>
      <c r="G84" s="3" t="s">
        <v>140</v>
      </c>
      <c r="H84" s="2"/>
      <c r="I84" s="19"/>
      <c r="J84" s="11">
        <v>29104</v>
      </c>
      <c r="K84" s="2" t="str">
        <f t="shared" ca="1" si="5"/>
        <v>46 THN 11 BLN</v>
      </c>
    </row>
    <row r="85" spans="1:14" x14ac:dyDescent="0.35">
      <c r="A85" s="2">
        <v>83</v>
      </c>
      <c r="B85" s="2" t="s">
        <v>69</v>
      </c>
      <c r="C85" s="2">
        <v>285</v>
      </c>
      <c r="D85" s="3" t="s">
        <v>93</v>
      </c>
      <c r="E85" s="11">
        <v>43494</v>
      </c>
      <c r="F85" s="2" t="str">
        <f t="shared" ca="1" si="4"/>
        <v>7 THN 7 BLN</v>
      </c>
      <c r="G85" s="3" t="s">
        <v>141</v>
      </c>
      <c r="H85" s="2" t="s">
        <v>107</v>
      </c>
      <c r="I85" s="19"/>
      <c r="J85" s="11">
        <v>35720</v>
      </c>
      <c r="K85" s="2" t="str">
        <f t="shared" ca="1" si="5"/>
        <v>28 THN 10 BLN</v>
      </c>
    </row>
    <row r="86" spans="1:14" x14ac:dyDescent="0.35">
      <c r="A86" s="2">
        <v>84</v>
      </c>
      <c r="B86" s="2" t="s">
        <v>69</v>
      </c>
      <c r="C86" s="2">
        <v>358</v>
      </c>
      <c r="D86" s="3" t="s">
        <v>144</v>
      </c>
      <c r="E86" s="11">
        <v>44020</v>
      </c>
      <c r="F86" s="2" t="str">
        <f t="shared" ca="1" si="4"/>
        <v>6 THN 1 BLN</v>
      </c>
      <c r="G86" s="3" t="s">
        <v>145</v>
      </c>
      <c r="H86" s="2"/>
      <c r="I86" s="19"/>
      <c r="J86" s="11">
        <v>35797</v>
      </c>
      <c r="K86" s="2" t="str">
        <f t="shared" ca="1" si="5"/>
        <v>28 THN 7 BLN</v>
      </c>
    </row>
    <row r="87" spans="1:14" x14ac:dyDescent="0.35">
      <c r="A87" s="2">
        <v>85</v>
      </c>
      <c r="B87" s="2" t="s">
        <v>74</v>
      </c>
      <c r="C87" s="2">
        <v>242</v>
      </c>
      <c r="D87" s="3" t="s">
        <v>76</v>
      </c>
      <c r="E87" s="11">
        <v>43299</v>
      </c>
      <c r="F87" s="2" t="str">
        <f t="shared" ca="1" si="4"/>
        <v>8 THN 1 BLN</v>
      </c>
      <c r="G87" s="15" t="s">
        <v>94</v>
      </c>
      <c r="H87" s="2" t="s">
        <v>106</v>
      </c>
      <c r="I87" s="19"/>
      <c r="J87" s="11">
        <v>28636</v>
      </c>
      <c r="K87" s="2" t="str">
        <f t="shared" ca="1" si="5"/>
        <v>48 THN 3 BLN</v>
      </c>
    </row>
    <row r="88" spans="1:14" x14ac:dyDescent="0.35">
      <c r="A88" s="2">
        <v>86</v>
      </c>
      <c r="B88" s="2" t="s">
        <v>74</v>
      </c>
      <c r="C88" s="2">
        <v>225</v>
      </c>
      <c r="D88" s="3" t="s">
        <v>75</v>
      </c>
      <c r="E88" s="11">
        <v>43164</v>
      </c>
      <c r="F88" s="2" t="str">
        <f t="shared" ca="1" si="4"/>
        <v>8 THN 5 BLN</v>
      </c>
      <c r="G88" s="15" t="s">
        <v>95</v>
      </c>
      <c r="H88" s="2" t="s">
        <v>106</v>
      </c>
      <c r="I88" s="19"/>
      <c r="J88" s="11">
        <v>29877</v>
      </c>
      <c r="K88" s="2" t="str">
        <f t="shared" ca="1" si="5"/>
        <v>44 THN 10 BLN</v>
      </c>
    </row>
    <row r="89" spans="1:14" x14ac:dyDescent="0.35">
      <c r="A89" s="2">
        <v>87</v>
      </c>
      <c r="B89" s="2" t="s">
        <v>74</v>
      </c>
      <c r="C89" s="2">
        <v>295</v>
      </c>
      <c r="D89" s="3" t="s">
        <v>96</v>
      </c>
      <c r="E89" s="11">
        <v>43509</v>
      </c>
      <c r="F89" s="2" t="str">
        <f t="shared" ca="1" si="4"/>
        <v>7 THN 6 BLN</v>
      </c>
      <c r="G89" s="15" t="s">
        <v>95</v>
      </c>
      <c r="H89" s="2" t="s">
        <v>106</v>
      </c>
      <c r="I89" s="19"/>
      <c r="J89" s="11">
        <v>26829</v>
      </c>
      <c r="K89" s="2" t="str">
        <f t="shared" ca="1" si="5"/>
        <v>53 THN 2 BLN</v>
      </c>
    </row>
    <row r="90" spans="1:14" x14ac:dyDescent="0.35">
      <c r="A90" s="2">
        <v>88</v>
      </c>
      <c r="B90" s="2" t="s">
        <v>74</v>
      </c>
      <c r="C90" s="2">
        <v>361</v>
      </c>
      <c r="D90" s="3" t="s">
        <v>175</v>
      </c>
      <c r="E90" s="11">
        <v>44058</v>
      </c>
      <c r="F90" s="2" t="str">
        <f t="shared" ca="1" si="4"/>
        <v>6 THN 0 BLN</v>
      </c>
      <c r="G90" s="15" t="s">
        <v>95</v>
      </c>
      <c r="H90" s="2"/>
      <c r="J90" s="11">
        <v>34860</v>
      </c>
      <c r="K90" s="2" t="str">
        <f t="shared" ca="1" si="5"/>
        <v>31 THN 2 BLN</v>
      </c>
    </row>
    <row r="91" spans="1:14" x14ac:dyDescent="0.35">
      <c r="A91" s="2">
        <v>89</v>
      </c>
      <c r="B91" s="2" t="s">
        <v>77</v>
      </c>
      <c r="C91" s="2">
        <v>132</v>
      </c>
      <c r="D91" s="3" t="s">
        <v>79</v>
      </c>
      <c r="E91" s="11">
        <v>42514</v>
      </c>
      <c r="F91" s="2" t="str">
        <f t="shared" ca="1" si="4"/>
        <v>10 THN 3 BLN</v>
      </c>
      <c r="G91" s="3" t="s">
        <v>80</v>
      </c>
      <c r="H91" s="2" t="s">
        <v>107</v>
      </c>
      <c r="I91" s="5"/>
      <c r="J91" s="11">
        <v>25334</v>
      </c>
      <c r="K91" s="2" t="str">
        <f t="shared" ca="1" si="5"/>
        <v>57 THN 3 BLN</v>
      </c>
      <c r="N91" s="1">
        <v>42</v>
      </c>
    </row>
    <row r="92" spans="1:14" x14ac:dyDescent="0.35">
      <c r="A92" s="2">
        <v>90</v>
      </c>
      <c r="B92" s="2" t="s">
        <v>77</v>
      </c>
      <c r="C92" s="2">
        <v>339</v>
      </c>
      <c r="D92" s="3" t="s">
        <v>120</v>
      </c>
      <c r="E92" s="11">
        <v>43810</v>
      </c>
      <c r="F92" s="2" t="str">
        <f t="shared" ca="1" si="4"/>
        <v>6 THN 8 BLN</v>
      </c>
      <c r="G92" s="3" t="s">
        <v>78</v>
      </c>
      <c r="H92" s="2"/>
      <c r="I92" s="5"/>
      <c r="J92" s="11">
        <v>29972</v>
      </c>
      <c r="K92" s="2" t="str">
        <f t="shared" ca="1" si="5"/>
        <v>44 THN 7 BLN</v>
      </c>
      <c r="N92" s="1">
        <v>43</v>
      </c>
    </row>
    <row r="93" spans="1:14" x14ac:dyDescent="0.35">
      <c r="B93" s="5"/>
      <c r="C93" s="5"/>
      <c r="D93" s="1"/>
      <c r="E93" s="5"/>
      <c r="G93" s="6"/>
      <c r="H93" s="1"/>
    </row>
    <row r="94" spans="1:14" x14ac:dyDescent="0.35">
      <c r="B94" s="5"/>
      <c r="C94" s="5"/>
      <c r="D94" s="1"/>
      <c r="E94" s="5"/>
      <c r="G94" s="6"/>
      <c r="H94" s="1"/>
    </row>
    <row r="95" spans="1:14" x14ac:dyDescent="0.35">
      <c r="B95" s="5"/>
      <c r="C95" s="5"/>
      <c r="D95" s="1"/>
      <c r="E95" s="5"/>
      <c r="G95" s="6"/>
      <c r="H95" s="1"/>
    </row>
    <row r="96" spans="1:14" x14ac:dyDescent="0.35">
      <c r="B96" s="5"/>
      <c r="C96" s="5"/>
      <c r="D96" s="1"/>
      <c r="E96" s="5"/>
      <c r="G96" s="6"/>
      <c r="H96" s="1"/>
    </row>
    <row r="97" spans="2:8" x14ac:dyDescent="0.35">
      <c r="B97" s="5"/>
      <c r="C97" s="5"/>
      <c r="D97" s="1"/>
      <c r="E97" s="5"/>
      <c r="G97" s="6"/>
      <c r="H97" s="1"/>
    </row>
    <row r="98" spans="2:8" x14ac:dyDescent="0.35">
      <c r="B98" s="5"/>
      <c r="C98" s="5"/>
      <c r="D98" s="1"/>
      <c r="E98" s="5"/>
      <c r="G98" s="6"/>
      <c r="H98" s="1"/>
    </row>
    <row r="99" spans="2:8" x14ac:dyDescent="0.35">
      <c r="B99" s="5"/>
      <c r="C99" s="5"/>
      <c r="D99" s="1"/>
      <c r="E99" s="5"/>
      <c r="G99" s="6"/>
      <c r="H99" s="1"/>
    </row>
    <row r="100" spans="2:8" x14ac:dyDescent="0.35">
      <c r="B100" s="5"/>
      <c r="C100" s="5"/>
      <c r="D100" s="1"/>
      <c r="E100" s="5"/>
      <c r="G100" s="6"/>
      <c r="H100" s="1"/>
    </row>
    <row r="101" spans="2:8" x14ac:dyDescent="0.35">
      <c r="B101" s="5"/>
      <c r="C101" s="5"/>
      <c r="D101" s="1"/>
      <c r="E101" s="5"/>
      <c r="G101" s="6"/>
      <c r="H101" s="1"/>
    </row>
    <row r="102" spans="2:8" x14ac:dyDescent="0.35">
      <c r="B102" s="5"/>
      <c r="C102" s="5"/>
      <c r="D102" s="1"/>
      <c r="E102" s="5"/>
      <c r="G102" s="6"/>
      <c r="H102" s="1"/>
    </row>
    <row r="103" spans="2:8" x14ac:dyDescent="0.35">
      <c r="B103" s="5"/>
      <c r="C103" s="5"/>
      <c r="D103" s="1"/>
      <c r="E103" s="5"/>
      <c r="G103" s="6"/>
      <c r="H103" s="1"/>
    </row>
    <row r="104" spans="2:8" x14ac:dyDescent="0.35">
      <c r="B104" s="5"/>
      <c r="C104" s="5"/>
      <c r="D104" s="1"/>
      <c r="E104" s="5"/>
      <c r="G104" s="6"/>
      <c r="H104" s="1"/>
    </row>
    <row r="105" spans="2:8" x14ac:dyDescent="0.35">
      <c r="B105" s="5"/>
      <c r="C105" s="5"/>
      <c r="D105" s="1"/>
      <c r="E105" s="5"/>
      <c r="G105" s="6"/>
      <c r="H105" s="1"/>
    </row>
    <row r="106" spans="2:8" x14ac:dyDescent="0.35">
      <c r="B106" s="5"/>
      <c r="C106" s="5"/>
      <c r="D106" s="1"/>
      <c r="E106" s="5"/>
      <c r="G106" s="6"/>
      <c r="H106" s="1"/>
    </row>
    <row r="107" spans="2:8" x14ac:dyDescent="0.35">
      <c r="B107" s="5"/>
      <c r="C107" s="5"/>
      <c r="D107" s="1"/>
      <c r="E107" s="5"/>
      <c r="G107" s="6"/>
      <c r="H107" s="1"/>
    </row>
    <row r="108" spans="2:8" x14ac:dyDescent="0.35">
      <c r="B108" s="5"/>
      <c r="C108" s="5"/>
      <c r="D108" s="1"/>
      <c r="E108" s="5"/>
      <c r="G108" s="6"/>
      <c r="H108" s="1"/>
    </row>
    <row r="109" spans="2:8" x14ac:dyDescent="0.35">
      <c r="B109" s="5"/>
      <c r="C109" s="5"/>
      <c r="D109" s="1"/>
      <c r="E109" s="5"/>
      <c r="G109" s="6"/>
      <c r="H109" s="1"/>
    </row>
    <row r="110" spans="2:8" x14ac:dyDescent="0.35">
      <c r="B110" s="5"/>
      <c r="C110" s="5"/>
      <c r="D110" s="1"/>
      <c r="E110" s="5"/>
      <c r="G110" s="6"/>
      <c r="H110" s="1"/>
    </row>
    <row r="111" spans="2:8" x14ac:dyDescent="0.35">
      <c r="B111" s="5"/>
      <c r="C111" s="5"/>
      <c r="D111" s="1"/>
      <c r="E111" s="5"/>
      <c r="G111" s="6"/>
      <c r="H111" s="1"/>
    </row>
    <row r="112" spans="2:8" x14ac:dyDescent="0.35">
      <c r="B112" s="5"/>
      <c r="C112" s="5"/>
      <c r="D112" s="1"/>
      <c r="E112" s="5"/>
      <c r="G112" s="6"/>
      <c r="H112" s="1"/>
    </row>
    <row r="113" spans="2:8" x14ac:dyDescent="0.35">
      <c r="B113" s="5"/>
      <c r="C113" s="5"/>
      <c r="D113" s="1"/>
      <c r="E113" s="5"/>
      <c r="G113" s="6"/>
      <c r="H113" s="1"/>
    </row>
    <row r="114" spans="2:8" x14ac:dyDescent="0.35">
      <c r="B114" s="5"/>
      <c r="C114" s="5"/>
      <c r="D114" s="1"/>
      <c r="E114" s="5"/>
      <c r="G114" s="6"/>
      <c r="H114" s="1"/>
    </row>
    <row r="115" spans="2:8" x14ac:dyDescent="0.35">
      <c r="B115" s="5"/>
      <c r="C115" s="5"/>
      <c r="D115" s="1"/>
      <c r="E115" s="5"/>
      <c r="G115" s="6"/>
      <c r="H115" s="1"/>
    </row>
    <row r="116" spans="2:8" x14ac:dyDescent="0.35">
      <c r="B116" s="5"/>
      <c r="C116" s="5"/>
      <c r="D116" s="1"/>
      <c r="E116" s="5"/>
      <c r="G116" s="6"/>
      <c r="H116" s="1"/>
    </row>
    <row r="117" spans="2:8" x14ac:dyDescent="0.35">
      <c r="B117" s="5"/>
      <c r="C117" s="5"/>
      <c r="D117" s="1"/>
      <c r="E117" s="5"/>
      <c r="G117" s="6"/>
      <c r="H117" s="1"/>
    </row>
    <row r="118" spans="2:8" x14ac:dyDescent="0.35">
      <c r="B118" s="5"/>
      <c r="C118" s="5"/>
      <c r="D118" s="1"/>
      <c r="E118" s="5"/>
      <c r="G118" s="6"/>
      <c r="H118" s="1"/>
    </row>
    <row r="119" spans="2:8" x14ac:dyDescent="0.35">
      <c r="B119" s="5"/>
      <c r="C119" s="5"/>
      <c r="D119" s="1"/>
      <c r="E119" s="5"/>
      <c r="G119" s="6"/>
      <c r="H119" s="1"/>
    </row>
    <row r="120" spans="2:8" x14ac:dyDescent="0.35">
      <c r="B120" s="5"/>
      <c r="C120" s="5"/>
      <c r="D120" s="1"/>
      <c r="E120" s="5"/>
      <c r="G120" s="6"/>
      <c r="H120" s="1"/>
    </row>
    <row r="121" spans="2:8" x14ac:dyDescent="0.35">
      <c r="B121" s="5"/>
      <c r="C121" s="5"/>
      <c r="D121" s="1"/>
      <c r="E121" s="5"/>
      <c r="G121" s="6"/>
      <c r="H121" s="1"/>
    </row>
    <row r="122" spans="2:8" x14ac:dyDescent="0.35">
      <c r="B122" s="5"/>
      <c r="C122" s="5"/>
      <c r="D122" s="1"/>
      <c r="E122" s="5"/>
      <c r="G122" s="6"/>
      <c r="H122" s="1"/>
    </row>
    <row r="123" spans="2:8" x14ac:dyDescent="0.35">
      <c r="B123" s="5"/>
      <c r="C123" s="5"/>
      <c r="D123" s="1"/>
      <c r="E123" s="5"/>
      <c r="G123" s="6"/>
      <c r="H123" s="1"/>
    </row>
    <row r="124" spans="2:8" x14ac:dyDescent="0.35">
      <c r="B124" s="5"/>
      <c r="C124" s="5"/>
      <c r="D124" s="1"/>
      <c r="E124" s="5"/>
      <c r="G124" s="6"/>
      <c r="H124" s="1"/>
    </row>
    <row r="125" spans="2:8" x14ac:dyDescent="0.35">
      <c r="B125" s="5"/>
      <c r="C125" s="5"/>
      <c r="D125" s="1"/>
      <c r="E125" s="5"/>
      <c r="G125" s="6"/>
      <c r="H125" s="1"/>
    </row>
    <row r="126" spans="2:8" x14ac:dyDescent="0.35">
      <c r="B126" s="5"/>
      <c r="C126" s="5"/>
      <c r="D126" s="1"/>
      <c r="E126" s="5"/>
      <c r="G126" s="6"/>
      <c r="H126" s="1"/>
    </row>
    <row r="127" spans="2:8" x14ac:dyDescent="0.35">
      <c r="B127" s="5"/>
      <c r="C127" s="5"/>
      <c r="D127" s="1"/>
      <c r="E127" s="5"/>
      <c r="G127" s="6"/>
      <c r="H127" s="1"/>
    </row>
    <row r="128" spans="2:8" x14ac:dyDescent="0.35">
      <c r="B128" s="5"/>
      <c r="C128" s="5"/>
      <c r="D128" s="1"/>
      <c r="E128" s="5"/>
      <c r="G128" s="6"/>
      <c r="H128" s="1"/>
    </row>
    <row r="129" spans="2:8" x14ac:dyDescent="0.35">
      <c r="B129" s="5"/>
      <c r="C129" s="5"/>
      <c r="D129" s="1"/>
      <c r="E129" s="5"/>
      <c r="G129" s="6"/>
      <c r="H129" s="1"/>
    </row>
    <row r="130" spans="2:8" x14ac:dyDescent="0.35">
      <c r="B130" s="5"/>
      <c r="C130" s="5"/>
      <c r="D130" s="1"/>
      <c r="E130" s="5"/>
      <c r="G130" s="6"/>
      <c r="H130" s="1"/>
    </row>
    <row r="131" spans="2:8" x14ac:dyDescent="0.35">
      <c r="B131" s="5"/>
      <c r="C131" s="5"/>
      <c r="D131" s="1"/>
      <c r="E131" s="5"/>
      <c r="G131" s="6"/>
      <c r="H131" s="1"/>
    </row>
    <row r="132" spans="2:8" x14ac:dyDescent="0.35">
      <c r="B132" s="5"/>
      <c r="C132" s="5"/>
      <c r="D132" s="1"/>
      <c r="E132" s="5"/>
      <c r="G132" s="6"/>
      <c r="H132" s="1"/>
    </row>
    <row r="133" spans="2:8" x14ac:dyDescent="0.35">
      <c r="B133" s="5"/>
      <c r="C133" s="5"/>
      <c r="D133" s="1"/>
      <c r="E133" s="5"/>
      <c r="G133" s="6"/>
      <c r="H133" s="1"/>
    </row>
    <row r="134" spans="2:8" x14ac:dyDescent="0.35">
      <c r="B134" s="5"/>
      <c r="C134" s="5"/>
      <c r="D134" s="1"/>
      <c r="E134" s="5"/>
      <c r="G134" s="6"/>
      <c r="H134" s="1"/>
    </row>
    <row r="135" spans="2:8" x14ac:dyDescent="0.35">
      <c r="B135" s="5"/>
      <c r="C135" s="5"/>
      <c r="D135" s="1"/>
      <c r="E135" s="5"/>
      <c r="G135" s="6"/>
      <c r="H135" s="1"/>
    </row>
    <row r="136" spans="2:8" x14ac:dyDescent="0.35">
      <c r="B136" s="5"/>
      <c r="C136" s="5"/>
      <c r="D136" s="1"/>
      <c r="E136" s="5"/>
      <c r="G136" s="6"/>
      <c r="H136" s="1"/>
    </row>
    <row r="137" spans="2:8" x14ac:dyDescent="0.35">
      <c r="B137" s="5"/>
      <c r="C137" s="5"/>
      <c r="D137" s="1"/>
      <c r="E137" s="5"/>
      <c r="G137" s="6"/>
      <c r="H137" s="1"/>
    </row>
    <row r="138" spans="2:8" x14ac:dyDescent="0.35">
      <c r="B138" s="5"/>
      <c r="C138" s="5"/>
      <c r="D138" s="1"/>
      <c r="E138" s="5"/>
      <c r="G138" s="6"/>
      <c r="H138" s="1"/>
    </row>
    <row r="139" spans="2:8" x14ac:dyDescent="0.35">
      <c r="B139" s="5"/>
      <c r="C139" s="5"/>
      <c r="D139" s="1"/>
      <c r="E139" s="5"/>
      <c r="G139" s="6"/>
      <c r="H139" s="1"/>
    </row>
    <row r="140" spans="2:8" x14ac:dyDescent="0.35">
      <c r="B140" s="5"/>
      <c r="C140" s="5"/>
      <c r="D140" s="1"/>
      <c r="E140" s="5"/>
      <c r="G140" s="6"/>
      <c r="H140" s="1"/>
    </row>
    <row r="141" spans="2:8" x14ac:dyDescent="0.35">
      <c r="B141" s="5"/>
      <c r="C141" s="5"/>
      <c r="D141" s="1"/>
      <c r="E141" s="5"/>
      <c r="G141" s="6"/>
      <c r="H141" s="1"/>
    </row>
    <row r="142" spans="2:8" x14ac:dyDescent="0.35">
      <c r="B142" s="5"/>
      <c r="C142" s="5"/>
      <c r="D142" s="1"/>
      <c r="E142" s="5"/>
      <c r="G142" s="6"/>
      <c r="H142" s="1"/>
    </row>
    <row r="143" spans="2:8" x14ac:dyDescent="0.35">
      <c r="B143" s="5"/>
      <c r="C143" s="5"/>
      <c r="D143" s="1"/>
      <c r="E143" s="5"/>
      <c r="G143" s="6"/>
      <c r="H143" s="1"/>
    </row>
    <row r="144" spans="2:8" x14ac:dyDescent="0.35">
      <c r="B144" s="5"/>
      <c r="C144" s="5"/>
      <c r="D144" s="1"/>
      <c r="E144" s="5"/>
      <c r="G144" s="6"/>
      <c r="H144" s="1"/>
    </row>
    <row r="145" spans="2:8" x14ac:dyDescent="0.35">
      <c r="B145" s="5"/>
      <c r="C145" s="5"/>
      <c r="D145" s="1"/>
      <c r="E145" s="5"/>
      <c r="G145" s="6"/>
      <c r="H145" s="1"/>
    </row>
    <row r="146" spans="2:8" x14ac:dyDescent="0.35">
      <c r="B146" s="5"/>
      <c r="C146" s="5"/>
      <c r="D146" s="1"/>
      <c r="E146" s="5"/>
      <c r="G146" s="6"/>
      <c r="H146" s="1"/>
    </row>
    <row r="147" spans="2:8" x14ac:dyDescent="0.35">
      <c r="B147" s="5"/>
      <c r="C147" s="5"/>
      <c r="D147" s="1"/>
      <c r="E147" s="5"/>
      <c r="G147" s="6"/>
      <c r="H147" s="1"/>
    </row>
    <row r="148" spans="2:8" x14ac:dyDescent="0.35">
      <c r="B148" s="5"/>
      <c r="C148" s="5"/>
      <c r="D148" s="1"/>
      <c r="E148" s="5"/>
      <c r="G148" s="6"/>
      <c r="H148" s="1"/>
    </row>
    <row r="149" spans="2:8" x14ac:dyDescent="0.35">
      <c r="B149" s="5"/>
      <c r="C149" s="5"/>
      <c r="D149" s="1"/>
      <c r="E149" s="5"/>
      <c r="G149" s="6"/>
      <c r="H149" s="1"/>
    </row>
    <row r="150" spans="2:8" x14ac:dyDescent="0.35">
      <c r="B150" s="5"/>
      <c r="C150" s="5"/>
      <c r="D150" s="1"/>
      <c r="E150" s="5"/>
      <c r="G150" s="6"/>
      <c r="H150" s="1"/>
    </row>
    <row r="151" spans="2:8" x14ac:dyDescent="0.35">
      <c r="B151" s="5"/>
      <c r="C151" s="5"/>
      <c r="D151" s="1"/>
      <c r="E151" s="5"/>
      <c r="G151" s="6"/>
      <c r="H151" s="1"/>
    </row>
    <row r="152" spans="2:8" x14ac:dyDescent="0.35">
      <c r="B152" s="5"/>
      <c r="C152" s="5"/>
      <c r="D152" s="1"/>
      <c r="E152" s="5"/>
      <c r="G152" s="6"/>
      <c r="H152" s="1"/>
    </row>
    <row r="153" spans="2:8" x14ac:dyDescent="0.35">
      <c r="B153" s="5"/>
      <c r="C153" s="5"/>
      <c r="D153" s="1"/>
      <c r="E153" s="5"/>
      <c r="G153" s="6"/>
      <c r="H153" s="1"/>
    </row>
    <row r="154" spans="2:8" x14ac:dyDescent="0.35">
      <c r="B154" s="5"/>
      <c r="C154" s="5"/>
      <c r="D154" s="1"/>
      <c r="E154" s="5"/>
      <c r="G154" s="6"/>
      <c r="H154" s="1"/>
    </row>
    <row r="155" spans="2:8" x14ac:dyDescent="0.35">
      <c r="B155" s="5"/>
      <c r="C155" s="5"/>
      <c r="D155" s="1"/>
      <c r="E155" s="5"/>
      <c r="G155" s="6"/>
      <c r="H155" s="1"/>
    </row>
    <row r="156" spans="2:8" x14ac:dyDescent="0.35">
      <c r="B156" s="5"/>
      <c r="C156" s="5"/>
      <c r="D156" s="1"/>
      <c r="E156" s="5"/>
      <c r="G156" s="6"/>
      <c r="H156" s="1"/>
    </row>
    <row r="157" spans="2:8" x14ac:dyDescent="0.35">
      <c r="B157" s="5"/>
      <c r="C157" s="5"/>
      <c r="D157" s="1"/>
      <c r="E157" s="5"/>
      <c r="G157" s="6"/>
      <c r="H157" s="1"/>
    </row>
    <row r="158" spans="2:8" x14ac:dyDescent="0.35">
      <c r="B158" s="5"/>
      <c r="C158" s="5"/>
      <c r="D158" s="1"/>
      <c r="E158" s="5"/>
      <c r="G158" s="6"/>
      <c r="H158" s="1"/>
    </row>
    <row r="159" spans="2:8" x14ac:dyDescent="0.35">
      <c r="B159" s="5"/>
      <c r="C159" s="5"/>
      <c r="D159" s="1"/>
      <c r="E159" s="5"/>
      <c r="G159" s="6"/>
      <c r="H159" s="1"/>
    </row>
    <row r="160" spans="2:8" x14ac:dyDescent="0.35">
      <c r="B160" s="5"/>
      <c r="C160" s="5"/>
      <c r="D160" s="1"/>
      <c r="E160" s="5"/>
      <c r="G160" s="6"/>
      <c r="H160" s="1"/>
    </row>
    <row r="161" spans="2:8" x14ac:dyDescent="0.35">
      <c r="B161" s="5"/>
      <c r="C161" s="5"/>
      <c r="D161" s="1"/>
      <c r="E161" s="5"/>
      <c r="G161" s="6"/>
      <c r="H161" s="1"/>
    </row>
    <row r="162" spans="2:8" x14ac:dyDescent="0.35">
      <c r="B162" s="5"/>
      <c r="C162" s="5"/>
      <c r="D162" s="1"/>
      <c r="E162" s="5"/>
      <c r="G162" s="6"/>
      <c r="H162" s="1"/>
    </row>
    <row r="163" spans="2:8" x14ac:dyDescent="0.35">
      <c r="B163" s="5"/>
      <c r="C163" s="5"/>
      <c r="D163" s="1"/>
      <c r="E163" s="5"/>
      <c r="G163" s="6"/>
      <c r="H163" s="1"/>
    </row>
    <row r="164" spans="2:8" x14ac:dyDescent="0.35">
      <c r="B164" s="5"/>
      <c r="C164" s="5"/>
      <c r="D164" s="1"/>
      <c r="E164" s="5"/>
      <c r="G164" s="6"/>
      <c r="H164" s="1"/>
    </row>
    <row r="165" spans="2:8" x14ac:dyDescent="0.35">
      <c r="B165" s="5"/>
      <c r="C165" s="5"/>
      <c r="D165" s="1"/>
      <c r="E165" s="5"/>
      <c r="G165" s="6"/>
      <c r="H165" s="1"/>
    </row>
    <row r="166" spans="2:8" x14ac:dyDescent="0.35">
      <c r="B166" s="5"/>
      <c r="C166" s="5"/>
      <c r="D166" s="1"/>
      <c r="E166" s="5"/>
      <c r="G166" s="6"/>
      <c r="H166" s="1"/>
    </row>
    <row r="167" spans="2:8" x14ac:dyDescent="0.35">
      <c r="B167" s="5"/>
      <c r="C167" s="5"/>
      <c r="D167" s="1"/>
      <c r="E167" s="5"/>
      <c r="G167" s="6"/>
      <c r="H167" s="1"/>
    </row>
    <row r="168" spans="2:8" x14ac:dyDescent="0.35">
      <c r="B168" s="5"/>
      <c r="C168" s="5"/>
      <c r="D168" s="1"/>
      <c r="E168" s="5"/>
      <c r="G168" s="6"/>
      <c r="H168" s="1"/>
    </row>
    <row r="169" spans="2:8" x14ac:dyDescent="0.35">
      <c r="B169" s="5"/>
      <c r="C169" s="5"/>
      <c r="D169" s="1"/>
      <c r="E169" s="5"/>
      <c r="G169" s="6"/>
      <c r="H169" s="1"/>
    </row>
    <row r="170" spans="2:8" x14ac:dyDescent="0.35">
      <c r="B170" s="5"/>
      <c r="C170" s="5"/>
      <c r="D170" s="1"/>
      <c r="E170" s="5"/>
      <c r="G170" s="6"/>
      <c r="H170" s="1"/>
    </row>
    <row r="171" spans="2:8" x14ac:dyDescent="0.35">
      <c r="B171" s="5"/>
      <c r="C171" s="5"/>
      <c r="D171" s="1"/>
      <c r="E171" s="5"/>
      <c r="G171" s="6"/>
      <c r="H171" s="1"/>
    </row>
    <row r="172" spans="2:8" x14ac:dyDescent="0.35">
      <c r="B172" s="5"/>
      <c r="C172" s="5"/>
      <c r="D172" s="1"/>
      <c r="E172" s="5"/>
      <c r="G172" s="6"/>
      <c r="H172" s="1"/>
    </row>
    <row r="173" spans="2:8" x14ac:dyDescent="0.35">
      <c r="B173" s="5"/>
      <c r="C173" s="5"/>
      <c r="D173" s="1"/>
      <c r="E173" s="5"/>
      <c r="G173" s="6"/>
      <c r="H173" s="1"/>
    </row>
    <row r="174" spans="2:8" x14ac:dyDescent="0.35">
      <c r="B174" s="5"/>
      <c r="C174" s="5"/>
      <c r="D174" s="1"/>
      <c r="E174" s="5"/>
      <c r="G174" s="6"/>
      <c r="H174" s="1"/>
    </row>
    <row r="175" spans="2:8" x14ac:dyDescent="0.35">
      <c r="B175" s="5"/>
      <c r="C175" s="5"/>
      <c r="D175" s="1"/>
      <c r="E175" s="5"/>
      <c r="G175" s="6"/>
      <c r="H175" s="1"/>
    </row>
    <row r="176" spans="2:8" x14ac:dyDescent="0.35">
      <c r="B176" s="5"/>
      <c r="C176" s="5"/>
      <c r="D176" s="1"/>
      <c r="E176" s="5"/>
      <c r="G176" s="6"/>
      <c r="H176" s="1"/>
    </row>
    <row r="177" spans="2:8" x14ac:dyDescent="0.35">
      <c r="B177" s="5"/>
      <c r="C177" s="5"/>
      <c r="D177" s="1"/>
      <c r="E177" s="5"/>
      <c r="G177" s="6"/>
      <c r="H177" s="1"/>
    </row>
    <row r="178" spans="2:8" x14ac:dyDescent="0.35">
      <c r="B178" s="5"/>
      <c r="C178" s="5"/>
      <c r="D178" s="1"/>
      <c r="E178" s="5"/>
      <c r="G178" s="6"/>
      <c r="H178" s="1"/>
    </row>
    <row r="179" spans="2:8" x14ac:dyDescent="0.35">
      <c r="B179" s="5"/>
      <c r="C179" s="5"/>
      <c r="D179" s="1"/>
      <c r="E179" s="5"/>
      <c r="G179" s="6"/>
      <c r="H179" s="1"/>
    </row>
    <row r="180" spans="2:8" x14ac:dyDescent="0.35">
      <c r="B180" s="5"/>
      <c r="C180" s="5"/>
      <c r="D180" s="1"/>
      <c r="E180" s="5"/>
      <c r="G180" s="6"/>
      <c r="H180" s="1"/>
    </row>
    <row r="181" spans="2:8" x14ac:dyDescent="0.35">
      <c r="B181" s="5"/>
      <c r="C181" s="5"/>
      <c r="D181" s="1"/>
      <c r="E181" s="5"/>
      <c r="G181" s="6"/>
      <c r="H181" s="1"/>
    </row>
    <row r="182" spans="2:8" x14ac:dyDescent="0.35">
      <c r="B182" s="5"/>
      <c r="C182" s="5"/>
      <c r="D182" s="1"/>
      <c r="E182" s="5"/>
      <c r="G182" s="6"/>
      <c r="H182" s="1"/>
    </row>
    <row r="183" spans="2:8" x14ac:dyDescent="0.35">
      <c r="B183" s="5"/>
      <c r="C183" s="5"/>
      <c r="D183" s="1"/>
      <c r="E183" s="5"/>
      <c r="G183" s="6"/>
      <c r="H183" s="1"/>
    </row>
    <row r="184" spans="2:8" x14ac:dyDescent="0.35">
      <c r="B184" s="5"/>
      <c r="C184" s="5"/>
      <c r="D184" s="1"/>
      <c r="E184" s="5"/>
      <c r="G184" s="6"/>
      <c r="H184" s="1"/>
    </row>
    <row r="185" spans="2:8" x14ac:dyDescent="0.35">
      <c r="B185" s="5"/>
      <c r="C185" s="5"/>
      <c r="D185" s="1"/>
      <c r="E185" s="5"/>
      <c r="G185" s="6"/>
      <c r="H185" s="1"/>
    </row>
    <row r="186" spans="2:8" x14ac:dyDescent="0.35">
      <c r="B186" s="5"/>
      <c r="C186" s="5"/>
      <c r="D186" s="1"/>
      <c r="E186" s="5"/>
      <c r="G186" s="6"/>
      <c r="H186" s="1"/>
    </row>
    <row r="187" spans="2:8" x14ac:dyDescent="0.35">
      <c r="B187" s="5"/>
      <c r="C187" s="5"/>
      <c r="D187" s="1"/>
      <c r="E187" s="5"/>
      <c r="G187" s="6"/>
      <c r="H187" s="1"/>
    </row>
    <row r="188" spans="2:8" x14ac:dyDescent="0.35">
      <c r="B188" s="5"/>
      <c r="C188" s="5"/>
      <c r="D188" s="1"/>
      <c r="E188" s="5"/>
      <c r="G188" s="6"/>
      <c r="H188" s="1"/>
    </row>
    <row r="189" spans="2:8" x14ac:dyDescent="0.35">
      <c r="B189" s="5"/>
      <c r="C189" s="5"/>
      <c r="D189" s="1"/>
      <c r="E189" s="5"/>
      <c r="G189" s="6"/>
      <c r="H189" s="1"/>
    </row>
    <row r="190" spans="2:8" x14ac:dyDescent="0.35">
      <c r="B190" s="5"/>
      <c r="C190" s="5"/>
      <c r="D190" s="1"/>
      <c r="E190" s="5"/>
      <c r="G190" s="6"/>
      <c r="H190" s="1"/>
    </row>
    <row r="191" spans="2:8" x14ac:dyDescent="0.35">
      <c r="B191" s="5"/>
      <c r="C191" s="5"/>
      <c r="D191" s="1"/>
      <c r="E191" s="5"/>
      <c r="G191" s="6"/>
      <c r="H191" s="1"/>
    </row>
    <row r="192" spans="2:8" x14ac:dyDescent="0.35">
      <c r="B192" s="5"/>
      <c r="C192" s="5"/>
      <c r="D192" s="1"/>
      <c r="E192" s="5"/>
      <c r="G192" s="6"/>
      <c r="H192" s="1"/>
    </row>
    <row r="193" spans="2:8" x14ac:dyDescent="0.35">
      <c r="B193" s="5"/>
      <c r="C193" s="5"/>
      <c r="D193" s="1"/>
      <c r="E193" s="5"/>
      <c r="G193" s="6"/>
      <c r="H193" s="1"/>
    </row>
    <row r="194" spans="2:8" x14ac:dyDescent="0.35">
      <c r="B194" s="5"/>
      <c r="C194" s="5"/>
      <c r="D194" s="1"/>
      <c r="E194" s="5"/>
      <c r="G194" s="6"/>
      <c r="H194" s="1"/>
    </row>
    <row r="195" spans="2:8" x14ac:dyDescent="0.35">
      <c r="B195" s="5"/>
      <c r="C195" s="5"/>
      <c r="D195" s="1"/>
      <c r="E195" s="5"/>
      <c r="G195" s="6"/>
      <c r="H195" s="1"/>
    </row>
    <row r="196" spans="2:8" x14ac:dyDescent="0.35">
      <c r="B196" s="5"/>
      <c r="C196" s="5"/>
      <c r="D196" s="1"/>
      <c r="E196" s="5"/>
      <c r="G196" s="6"/>
      <c r="H196" s="1"/>
    </row>
    <row r="197" spans="2:8" x14ac:dyDescent="0.35">
      <c r="B197" s="5"/>
      <c r="C197" s="5"/>
      <c r="D197" s="1"/>
      <c r="E197" s="5"/>
      <c r="G197" s="6"/>
      <c r="H197" s="1"/>
    </row>
    <row r="198" spans="2:8" x14ac:dyDescent="0.35">
      <c r="B198" s="5"/>
      <c r="C198" s="5"/>
      <c r="D198" s="1"/>
      <c r="E198" s="5"/>
      <c r="G198" s="6"/>
      <c r="H198" s="1"/>
    </row>
    <row r="199" spans="2:8" x14ac:dyDescent="0.35">
      <c r="B199" s="5"/>
      <c r="C199" s="5"/>
      <c r="D199" s="1"/>
      <c r="E199" s="5"/>
      <c r="G199" s="6"/>
      <c r="H199" s="1"/>
    </row>
    <row r="200" spans="2:8" x14ac:dyDescent="0.35">
      <c r="B200" s="5"/>
      <c r="C200" s="5"/>
      <c r="D200" s="1"/>
      <c r="E200" s="5"/>
      <c r="G200" s="6"/>
      <c r="H200" s="1"/>
    </row>
    <row r="201" spans="2:8" x14ac:dyDescent="0.35">
      <c r="B201" s="5"/>
      <c r="C201" s="5"/>
      <c r="D201" s="1"/>
      <c r="E201" s="5"/>
      <c r="G201" s="6"/>
      <c r="H201" s="1"/>
    </row>
    <row r="202" spans="2:8" x14ac:dyDescent="0.35">
      <c r="B202" s="5"/>
      <c r="C202" s="5"/>
      <c r="D202" s="1"/>
      <c r="E202" s="5"/>
      <c r="G202" s="6"/>
      <c r="H202" s="1"/>
    </row>
    <row r="203" spans="2:8" x14ac:dyDescent="0.35">
      <c r="B203" s="5"/>
      <c r="C203" s="5"/>
      <c r="D203" s="1"/>
      <c r="E203" s="5"/>
      <c r="G203" s="6"/>
      <c r="H203" s="1"/>
    </row>
    <row r="204" spans="2:8" x14ac:dyDescent="0.35">
      <c r="B204" s="5"/>
      <c r="C204" s="5"/>
      <c r="D204" s="1"/>
      <c r="E204" s="5"/>
      <c r="G204" s="6"/>
      <c r="H204" s="1"/>
    </row>
    <row r="205" spans="2:8" x14ac:dyDescent="0.35">
      <c r="B205" s="5"/>
      <c r="C205" s="5"/>
      <c r="D205" s="1"/>
      <c r="E205" s="5"/>
      <c r="G205" s="6"/>
      <c r="H205" s="1"/>
    </row>
    <row r="206" spans="2:8" x14ac:dyDescent="0.35">
      <c r="B206" s="5"/>
      <c r="C206" s="5"/>
      <c r="D206" s="1"/>
      <c r="E206" s="5"/>
      <c r="G206" s="6"/>
      <c r="H206" s="1"/>
    </row>
    <row r="207" spans="2:8" x14ac:dyDescent="0.35">
      <c r="B207" s="5"/>
      <c r="C207" s="5"/>
      <c r="D207" s="1"/>
      <c r="E207" s="5"/>
      <c r="G207" s="6"/>
      <c r="H207" s="1"/>
    </row>
    <row r="208" spans="2:8" x14ac:dyDescent="0.35">
      <c r="B208" s="5"/>
      <c r="C208" s="5"/>
      <c r="D208" s="1"/>
      <c r="E208" s="5"/>
      <c r="G208" s="6"/>
      <c r="H208" s="1"/>
    </row>
    <row r="209" spans="2:8" x14ac:dyDescent="0.35">
      <c r="B209" s="5"/>
      <c r="C209" s="5"/>
      <c r="D209" s="1"/>
      <c r="E209" s="5"/>
      <c r="G209" s="6"/>
      <c r="H209" s="1"/>
    </row>
    <row r="210" spans="2:8" x14ac:dyDescent="0.35">
      <c r="B210" s="5"/>
      <c r="C210" s="5"/>
      <c r="D210" s="1"/>
      <c r="E210" s="5"/>
      <c r="G210" s="6"/>
      <c r="H210" s="1"/>
    </row>
    <row r="211" spans="2:8" x14ac:dyDescent="0.35">
      <c r="B211" s="5"/>
      <c r="C211" s="5"/>
      <c r="D211" s="1"/>
      <c r="E211" s="5"/>
      <c r="G211" s="6"/>
      <c r="H211" s="1"/>
    </row>
    <row r="212" spans="2:8" x14ac:dyDescent="0.35">
      <c r="B212" s="5"/>
      <c r="C212" s="5"/>
      <c r="D212" s="1"/>
      <c r="E212" s="5"/>
      <c r="G212" s="6"/>
      <c r="H212" s="1"/>
    </row>
    <row r="213" spans="2:8" x14ac:dyDescent="0.35">
      <c r="B213" s="5"/>
      <c r="C213" s="5"/>
      <c r="D213" s="1"/>
      <c r="E213" s="5"/>
      <c r="G213" s="6"/>
      <c r="H213" s="1"/>
    </row>
    <row r="214" spans="2:8" x14ac:dyDescent="0.35">
      <c r="B214" s="5"/>
      <c r="C214" s="5"/>
      <c r="D214" s="1"/>
      <c r="E214" s="5"/>
      <c r="G214" s="6"/>
      <c r="H214" s="1"/>
    </row>
    <row r="215" spans="2:8" x14ac:dyDescent="0.35">
      <c r="B215" s="5"/>
      <c r="C215" s="5"/>
      <c r="D215" s="1"/>
      <c r="E215" s="5"/>
      <c r="G215" s="6"/>
      <c r="H215" s="1"/>
    </row>
    <row r="216" spans="2:8" x14ac:dyDescent="0.35">
      <c r="B216" s="5"/>
      <c r="C216" s="5"/>
      <c r="D216" s="1"/>
      <c r="E216" s="5"/>
      <c r="G216" s="6"/>
      <c r="H216" s="1"/>
    </row>
    <row r="217" spans="2:8" x14ac:dyDescent="0.35">
      <c r="B217" s="5"/>
      <c r="C217" s="5"/>
      <c r="D217" s="1"/>
      <c r="E217" s="5"/>
      <c r="G217" s="6"/>
      <c r="H217" s="1"/>
    </row>
    <row r="218" spans="2:8" x14ac:dyDescent="0.35">
      <c r="B218" s="5"/>
      <c r="C218" s="5"/>
      <c r="D218" s="1"/>
      <c r="E218" s="5"/>
      <c r="G218" s="6"/>
      <c r="H218" s="1"/>
    </row>
    <row r="219" spans="2:8" x14ac:dyDescent="0.35">
      <c r="B219" s="5"/>
      <c r="C219" s="5"/>
      <c r="D219" s="1"/>
      <c r="E219" s="5"/>
      <c r="G219" s="6"/>
      <c r="H219" s="1"/>
    </row>
    <row r="220" spans="2:8" x14ac:dyDescent="0.35">
      <c r="B220" s="5"/>
      <c r="C220" s="5"/>
      <c r="D220" s="1"/>
      <c r="E220" s="5"/>
      <c r="G220" s="6"/>
      <c r="H220" s="1"/>
    </row>
    <row r="221" spans="2:8" x14ac:dyDescent="0.35">
      <c r="B221" s="5"/>
      <c r="C221" s="5"/>
      <c r="D221" s="1"/>
      <c r="E221" s="5"/>
      <c r="G221" s="6"/>
      <c r="H221" s="1"/>
    </row>
    <row r="222" spans="2:8" x14ac:dyDescent="0.35">
      <c r="B222" s="5"/>
      <c r="C222" s="5"/>
      <c r="D222" s="1"/>
      <c r="E222" s="5"/>
      <c r="G222" s="6"/>
      <c r="H222" s="1"/>
    </row>
    <row r="223" spans="2:8" x14ac:dyDescent="0.35">
      <c r="B223" s="5"/>
      <c r="C223" s="5"/>
      <c r="D223" s="1"/>
      <c r="E223" s="5"/>
      <c r="G223" s="6"/>
      <c r="H223" s="1"/>
    </row>
    <row r="224" spans="2:8" x14ac:dyDescent="0.35">
      <c r="B224" s="5"/>
      <c r="C224" s="5"/>
      <c r="D224" s="1"/>
      <c r="E224" s="5"/>
      <c r="G224" s="6"/>
      <c r="H224" s="1"/>
    </row>
    <row r="225" spans="2:8" x14ac:dyDescent="0.35">
      <c r="B225" s="5"/>
      <c r="C225" s="5"/>
      <c r="D225" s="1"/>
      <c r="E225" s="5"/>
      <c r="G225" s="6"/>
      <c r="H225" s="1"/>
    </row>
    <row r="226" spans="2:8" x14ac:dyDescent="0.35">
      <c r="B226" s="5"/>
      <c r="C226" s="5"/>
      <c r="D226" s="1"/>
      <c r="E226" s="5"/>
      <c r="G226" s="6"/>
      <c r="H226" s="1"/>
    </row>
    <row r="227" spans="2:8" x14ac:dyDescent="0.35">
      <c r="B227" s="5"/>
      <c r="C227" s="5"/>
      <c r="D227" s="1"/>
      <c r="E227" s="5"/>
      <c r="G227" s="6"/>
      <c r="H227" s="1"/>
    </row>
    <row r="228" spans="2:8" x14ac:dyDescent="0.35">
      <c r="B228" s="5"/>
      <c r="C228" s="5"/>
      <c r="D228" s="1"/>
      <c r="E228" s="5"/>
      <c r="G228" s="6"/>
      <c r="H228" s="1"/>
    </row>
    <row r="229" spans="2:8" x14ac:dyDescent="0.35">
      <c r="B229" s="5"/>
      <c r="C229" s="5"/>
      <c r="D229" s="1"/>
      <c r="E229" s="5"/>
      <c r="G229" s="6"/>
      <c r="H229" s="1"/>
    </row>
    <row r="230" spans="2:8" x14ac:dyDescent="0.35">
      <c r="B230" s="5"/>
      <c r="C230" s="5"/>
      <c r="D230" s="1"/>
      <c r="E230" s="5"/>
      <c r="G230" s="6"/>
      <c r="H230" s="1"/>
    </row>
    <row r="231" spans="2:8" x14ac:dyDescent="0.35">
      <c r="B231" s="5"/>
      <c r="C231" s="5"/>
      <c r="D231" s="1"/>
      <c r="E231" s="5"/>
      <c r="G231" s="6"/>
      <c r="H231" s="1"/>
    </row>
    <row r="232" spans="2:8" x14ac:dyDescent="0.35">
      <c r="B232" s="5"/>
      <c r="C232" s="5"/>
      <c r="D232" s="1"/>
      <c r="E232" s="5"/>
      <c r="G232" s="6"/>
      <c r="H232" s="1"/>
    </row>
    <row r="233" spans="2:8" x14ac:dyDescent="0.35">
      <c r="B233" s="5"/>
      <c r="C233" s="5"/>
      <c r="D233" s="1"/>
      <c r="E233" s="5"/>
      <c r="G233" s="6"/>
      <c r="H233" s="1"/>
    </row>
    <row r="234" spans="2:8" x14ac:dyDescent="0.35">
      <c r="B234" s="5"/>
      <c r="C234" s="5"/>
      <c r="D234" s="1"/>
      <c r="E234" s="5"/>
      <c r="G234" s="6"/>
      <c r="H234" s="1"/>
    </row>
    <row r="235" spans="2:8" x14ac:dyDescent="0.35">
      <c r="B235" s="5"/>
      <c r="C235" s="5"/>
      <c r="D235" s="1"/>
      <c r="E235" s="5"/>
      <c r="G235" s="6"/>
      <c r="H235" s="1"/>
    </row>
    <row r="236" spans="2:8" x14ac:dyDescent="0.35">
      <c r="B236" s="5"/>
      <c r="C236" s="5"/>
      <c r="D236" s="1"/>
      <c r="E236" s="5"/>
      <c r="G236" s="6"/>
      <c r="H236" s="1"/>
    </row>
    <row r="237" spans="2:8" x14ac:dyDescent="0.35">
      <c r="B237" s="5"/>
      <c r="C237" s="5"/>
      <c r="D237" s="1"/>
      <c r="E237" s="5"/>
      <c r="G237" s="6"/>
      <c r="H237" s="1"/>
    </row>
    <row r="238" spans="2:8" x14ac:dyDescent="0.35">
      <c r="B238" s="5"/>
      <c r="C238" s="5"/>
      <c r="D238" s="1"/>
      <c r="E238" s="5"/>
      <c r="G238" s="6"/>
      <c r="H238" s="1"/>
    </row>
    <row r="239" spans="2:8" x14ac:dyDescent="0.35">
      <c r="B239" s="5"/>
      <c r="C239" s="5"/>
      <c r="D239" s="1"/>
      <c r="E239" s="5"/>
      <c r="G239" s="6"/>
      <c r="H239" s="1"/>
    </row>
    <row r="240" spans="2:8" x14ac:dyDescent="0.35">
      <c r="B240" s="5"/>
      <c r="C240" s="5"/>
      <c r="D240" s="1"/>
      <c r="E240" s="5"/>
      <c r="G240" s="6"/>
      <c r="H240" s="1"/>
    </row>
    <row r="241" spans="2:8" x14ac:dyDescent="0.35">
      <c r="B241" s="5"/>
      <c r="C241" s="5"/>
      <c r="D241" s="1"/>
      <c r="E241" s="5"/>
      <c r="G241" s="6"/>
      <c r="H241" s="1"/>
    </row>
    <row r="242" spans="2:8" x14ac:dyDescent="0.35">
      <c r="B242" s="5"/>
      <c r="C242" s="5"/>
      <c r="D242" s="1"/>
      <c r="E242" s="5"/>
      <c r="G242" s="6"/>
      <c r="H242" s="1"/>
    </row>
    <row r="243" spans="2:8" x14ac:dyDescent="0.35">
      <c r="B243" s="5"/>
      <c r="C243" s="5"/>
      <c r="D243" s="1"/>
      <c r="E243" s="5"/>
      <c r="G243" s="6"/>
      <c r="H243" s="1"/>
    </row>
    <row r="244" spans="2:8" x14ac:dyDescent="0.35">
      <c r="B244" s="5"/>
      <c r="C244" s="5"/>
      <c r="D244" s="1"/>
      <c r="E244" s="5"/>
      <c r="G244" s="6"/>
      <c r="H244" s="1"/>
    </row>
    <row r="245" spans="2:8" x14ac:dyDescent="0.35">
      <c r="B245" s="5"/>
      <c r="C245" s="5"/>
      <c r="D245" s="1"/>
      <c r="E245" s="5"/>
      <c r="G245" s="6"/>
      <c r="H245" s="1"/>
    </row>
    <row r="246" spans="2:8" x14ac:dyDescent="0.35">
      <c r="B246" s="5"/>
      <c r="C246" s="5"/>
      <c r="D246" s="1"/>
      <c r="E246" s="5"/>
      <c r="G246" s="6"/>
      <c r="H246" s="1"/>
    </row>
    <row r="247" spans="2:8" x14ac:dyDescent="0.35">
      <c r="B247" s="5"/>
      <c r="C247" s="5"/>
      <c r="D247" s="1"/>
      <c r="E247" s="5"/>
      <c r="G247" s="6"/>
      <c r="H247" s="1"/>
    </row>
    <row r="248" spans="2:8" x14ac:dyDescent="0.35">
      <c r="B248" s="5"/>
      <c r="C248" s="5"/>
      <c r="D248" s="1"/>
      <c r="E248" s="5"/>
      <c r="G248" s="6"/>
      <c r="H248" s="1"/>
    </row>
    <row r="249" spans="2:8" x14ac:dyDescent="0.35">
      <c r="B249" s="5"/>
      <c r="C249" s="5"/>
      <c r="D249" s="1"/>
      <c r="E249" s="5"/>
      <c r="G249" s="6"/>
      <c r="H249" s="1"/>
    </row>
    <row r="250" spans="2:8" x14ac:dyDescent="0.35">
      <c r="B250" s="5"/>
      <c r="C250" s="5"/>
      <c r="D250" s="1"/>
      <c r="E250" s="5"/>
      <c r="G250" s="6"/>
      <c r="H250" s="1"/>
    </row>
    <row r="251" spans="2:8" x14ac:dyDescent="0.35">
      <c r="B251" s="5"/>
      <c r="C251" s="5"/>
      <c r="D251" s="1"/>
      <c r="E251" s="5"/>
      <c r="G251" s="6"/>
      <c r="H251" s="1"/>
    </row>
    <row r="252" spans="2:8" x14ac:dyDescent="0.35">
      <c r="B252" s="5"/>
      <c r="C252" s="5"/>
      <c r="D252" s="1"/>
      <c r="E252" s="5"/>
      <c r="G252" s="6"/>
      <c r="H252" s="1"/>
    </row>
    <row r="253" spans="2:8" x14ac:dyDescent="0.35">
      <c r="B253" s="5"/>
      <c r="C253" s="5"/>
      <c r="D253" s="1"/>
      <c r="E253" s="5"/>
      <c r="G253" s="6"/>
      <c r="H253" s="1"/>
    </row>
    <row r="254" spans="2:8" x14ac:dyDescent="0.35">
      <c r="B254" s="5"/>
      <c r="C254" s="5"/>
      <c r="D254" s="1"/>
      <c r="E254" s="5"/>
      <c r="G254" s="6"/>
      <c r="H254" s="1"/>
    </row>
    <row r="255" spans="2:8" x14ac:dyDescent="0.35">
      <c r="B255" s="5"/>
      <c r="C255" s="5"/>
      <c r="D255" s="1"/>
      <c r="E255" s="5"/>
      <c r="G255" s="6"/>
      <c r="H255" s="1"/>
    </row>
    <row r="256" spans="2:8" x14ac:dyDescent="0.35">
      <c r="B256" s="5"/>
      <c r="C256" s="5"/>
      <c r="D256" s="1"/>
      <c r="E256" s="5"/>
      <c r="G256" s="6"/>
      <c r="H256" s="1"/>
    </row>
    <row r="257" spans="2:8" x14ac:dyDescent="0.35">
      <c r="B257" s="5"/>
      <c r="C257" s="5"/>
      <c r="D257" s="1"/>
      <c r="E257" s="5"/>
      <c r="G257" s="6"/>
      <c r="H257" s="1"/>
    </row>
    <row r="258" spans="2:8" x14ac:dyDescent="0.35">
      <c r="B258" s="5"/>
      <c r="C258" s="5"/>
      <c r="D258" s="1"/>
      <c r="E258" s="5"/>
      <c r="G258" s="6"/>
      <c r="H258" s="1"/>
    </row>
    <row r="259" spans="2:8" x14ac:dyDescent="0.35">
      <c r="B259" s="5"/>
      <c r="C259" s="5"/>
      <c r="D259" s="1"/>
      <c r="E259" s="5"/>
      <c r="G259" s="6"/>
      <c r="H259" s="1"/>
    </row>
    <row r="260" spans="2:8" x14ac:dyDescent="0.35">
      <c r="B260" s="5"/>
      <c r="C260" s="5"/>
      <c r="D260" s="1"/>
      <c r="E260" s="5"/>
      <c r="G260" s="6"/>
      <c r="H260" s="1"/>
    </row>
    <row r="261" spans="2:8" x14ac:dyDescent="0.35">
      <c r="B261" s="5"/>
      <c r="C261" s="5"/>
      <c r="D261" s="1"/>
      <c r="E261" s="5"/>
      <c r="G261" s="6"/>
      <c r="H261" s="1"/>
    </row>
    <row r="262" spans="2:8" x14ac:dyDescent="0.35">
      <c r="B262" s="5"/>
      <c r="C262" s="5"/>
      <c r="D262" s="1"/>
      <c r="E262" s="5"/>
      <c r="G262" s="6"/>
      <c r="H262" s="1"/>
    </row>
    <row r="263" spans="2:8" x14ac:dyDescent="0.35">
      <c r="B263" s="5"/>
      <c r="C263" s="5"/>
      <c r="D263" s="1"/>
      <c r="E263" s="5"/>
      <c r="G263" s="6"/>
      <c r="H263" s="1"/>
    </row>
    <row r="264" spans="2:8" x14ac:dyDescent="0.35">
      <c r="B264" s="5"/>
      <c r="C264" s="5"/>
      <c r="D264" s="1"/>
      <c r="E264" s="5"/>
      <c r="G264" s="6"/>
      <c r="H264" s="1"/>
    </row>
    <row r="265" spans="2:8" x14ac:dyDescent="0.35">
      <c r="B265" s="5"/>
      <c r="C265" s="5"/>
      <c r="D265" s="1"/>
      <c r="E265" s="5"/>
      <c r="G265" s="6"/>
      <c r="H265" s="1"/>
    </row>
    <row r="266" spans="2:8" x14ac:dyDescent="0.35">
      <c r="B266" s="5"/>
      <c r="C266" s="5"/>
      <c r="D266" s="1"/>
      <c r="E266" s="5"/>
      <c r="G266" s="6"/>
      <c r="H266" s="1"/>
    </row>
    <row r="267" spans="2:8" x14ac:dyDescent="0.35">
      <c r="B267" s="5"/>
      <c r="C267" s="5"/>
      <c r="D267" s="1"/>
      <c r="E267" s="5"/>
      <c r="G267" s="6"/>
      <c r="H267" s="1"/>
    </row>
    <row r="268" spans="2:8" x14ac:dyDescent="0.35">
      <c r="B268" s="5"/>
      <c r="C268" s="5"/>
      <c r="D268" s="1"/>
      <c r="E268" s="5"/>
      <c r="G268" s="6"/>
      <c r="H268" s="1"/>
    </row>
    <row r="269" spans="2:8" x14ac:dyDescent="0.35">
      <c r="B269" s="5"/>
      <c r="C269" s="5"/>
      <c r="D269" s="1"/>
      <c r="E269" s="5"/>
      <c r="G269" s="6"/>
      <c r="H269" s="1"/>
    </row>
    <row r="270" spans="2:8" x14ac:dyDescent="0.35">
      <c r="B270" s="5"/>
      <c r="C270" s="5"/>
      <c r="D270" s="1"/>
      <c r="E270" s="5"/>
      <c r="G270" s="6"/>
      <c r="H270" s="1"/>
    </row>
    <row r="271" spans="2:8" x14ac:dyDescent="0.35">
      <c r="B271" s="5"/>
      <c r="C271" s="5"/>
      <c r="D271" s="1"/>
      <c r="E271" s="5"/>
      <c r="G271" s="6"/>
      <c r="H271" s="1"/>
    </row>
    <row r="272" spans="2:8" x14ac:dyDescent="0.35">
      <c r="B272" s="5"/>
      <c r="C272" s="5"/>
      <c r="D272" s="1"/>
      <c r="E272" s="5"/>
      <c r="G272" s="6"/>
      <c r="H272" s="1"/>
    </row>
    <row r="273" spans="2:8" x14ac:dyDescent="0.35">
      <c r="B273" s="5"/>
      <c r="C273" s="5"/>
      <c r="D273" s="1"/>
      <c r="E273" s="5"/>
      <c r="G273" s="6"/>
      <c r="H273" s="1"/>
    </row>
    <row r="274" spans="2:8" x14ac:dyDescent="0.35">
      <c r="B274" s="5"/>
      <c r="C274" s="5"/>
      <c r="D274" s="1"/>
      <c r="E274" s="5"/>
      <c r="G274" s="6"/>
      <c r="H274" s="1"/>
    </row>
    <row r="275" spans="2:8" x14ac:dyDescent="0.35">
      <c r="B275" s="5"/>
      <c r="C275" s="5"/>
      <c r="D275" s="1"/>
      <c r="E275" s="5"/>
      <c r="G275" s="6"/>
      <c r="H275" s="1"/>
    </row>
    <row r="276" spans="2:8" x14ac:dyDescent="0.35">
      <c r="B276" s="5"/>
      <c r="C276" s="5"/>
      <c r="D276" s="1"/>
      <c r="E276" s="5"/>
      <c r="G276" s="6"/>
      <c r="H276" s="1"/>
    </row>
    <row r="277" spans="2:8" x14ac:dyDescent="0.35">
      <c r="B277" s="5"/>
      <c r="C277" s="5"/>
      <c r="D277" s="1"/>
      <c r="E277" s="5"/>
      <c r="G277" s="6"/>
      <c r="H277" s="1"/>
    </row>
    <row r="278" spans="2:8" x14ac:dyDescent="0.35">
      <c r="B278" s="5"/>
      <c r="C278" s="5"/>
      <c r="D278" s="1"/>
      <c r="E278" s="5"/>
      <c r="G278" s="6"/>
      <c r="H278" s="1"/>
    </row>
    <row r="279" spans="2:8" x14ac:dyDescent="0.35">
      <c r="B279" s="5"/>
      <c r="C279" s="5"/>
      <c r="D279" s="1"/>
      <c r="E279" s="5"/>
      <c r="G279" s="6"/>
      <c r="H279" s="1"/>
    </row>
    <row r="280" spans="2:8" x14ac:dyDescent="0.35">
      <c r="B280" s="5"/>
      <c r="C280" s="5"/>
      <c r="D280" s="1"/>
      <c r="E280" s="5"/>
      <c r="G280" s="6"/>
      <c r="H280" s="1"/>
    </row>
    <row r="281" spans="2:8" x14ac:dyDescent="0.35">
      <c r="B281" s="5"/>
      <c r="C281" s="5"/>
      <c r="D281" s="1"/>
      <c r="E281" s="5"/>
      <c r="G281" s="6"/>
      <c r="H281" s="1"/>
    </row>
    <row r="282" spans="2:8" x14ac:dyDescent="0.35">
      <c r="B282" s="5"/>
      <c r="C282" s="5"/>
      <c r="D282" s="1"/>
      <c r="E282" s="5"/>
      <c r="G282" s="6"/>
      <c r="H282" s="1"/>
    </row>
    <row r="283" spans="2:8" x14ac:dyDescent="0.35">
      <c r="B283" s="5"/>
      <c r="C283" s="5"/>
      <c r="D283" s="1"/>
      <c r="E283" s="5"/>
      <c r="G283" s="6"/>
      <c r="H283" s="1"/>
    </row>
    <row r="284" spans="2:8" x14ac:dyDescent="0.35">
      <c r="B284" s="5"/>
      <c r="C284" s="5"/>
      <c r="D284" s="1"/>
      <c r="E284" s="5"/>
      <c r="G284" s="6"/>
      <c r="H284" s="1"/>
    </row>
    <row r="285" spans="2:8" x14ac:dyDescent="0.35">
      <c r="B285" s="5"/>
      <c r="C285" s="5"/>
      <c r="D285" s="1"/>
      <c r="E285" s="5"/>
      <c r="G285" s="6"/>
      <c r="H285" s="1"/>
    </row>
    <row r="286" spans="2:8" x14ac:dyDescent="0.35">
      <c r="B286" s="5"/>
      <c r="C286" s="5"/>
      <c r="D286" s="1"/>
      <c r="E286" s="5"/>
      <c r="G286" s="6"/>
      <c r="H286" s="1"/>
    </row>
    <row r="287" spans="2:8" x14ac:dyDescent="0.35">
      <c r="B287" s="5"/>
      <c r="C287" s="5"/>
      <c r="D287" s="1"/>
      <c r="E287" s="5"/>
      <c r="G287" s="6"/>
      <c r="H287" s="1"/>
    </row>
    <row r="288" spans="2:8" x14ac:dyDescent="0.35">
      <c r="B288" s="5"/>
      <c r="C288" s="5"/>
      <c r="D288" s="1"/>
      <c r="E288" s="5"/>
      <c r="G288" s="6"/>
      <c r="H288" s="1"/>
    </row>
    <row r="289" spans="2:8" x14ac:dyDescent="0.35">
      <c r="B289" s="5"/>
      <c r="C289" s="5"/>
      <c r="D289" s="1"/>
      <c r="E289" s="5"/>
      <c r="G289" s="6"/>
      <c r="H289" s="1"/>
    </row>
    <row r="290" spans="2:8" x14ac:dyDescent="0.35">
      <c r="B290" s="5"/>
      <c r="C290" s="5"/>
      <c r="D290" s="1"/>
      <c r="E290" s="5"/>
      <c r="G290" s="6"/>
      <c r="H290" s="1"/>
    </row>
    <row r="291" spans="2:8" x14ac:dyDescent="0.35">
      <c r="B291" s="5"/>
      <c r="C291" s="5"/>
      <c r="D291" s="1"/>
      <c r="E291" s="5"/>
      <c r="G291" s="6"/>
      <c r="H291" s="1"/>
    </row>
    <row r="292" spans="2:8" x14ac:dyDescent="0.35">
      <c r="B292" s="5"/>
      <c r="C292" s="5"/>
      <c r="D292" s="1"/>
      <c r="E292" s="5"/>
      <c r="G292" s="6"/>
      <c r="H292" s="1"/>
    </row>
    <row r="293" spans="2:8" x14ac:dyDescent="0.35">
      <c r="B293" s="5"/>
      <c r="C293" s="5"/>
      <c r="D293" s="1"/>
      <c r="E293" s="5"/>
      <c r="G293" s="6"/>
      <c r="H293" s="1"/>
    </row>
    <row r="294" spans="2:8" x14ac:dyDescent="0.35">
      <c r="B294" s="5"/>
      <c r="C294" s="5"/>
      <c r="D294" s="1"/>
      <c r="E294" s="5"/>
      <c r="G294" s="6"/>
      <c r="H294" s="1"/>
    </row>
    <row r="295" spans="2:8" x14ac:dyDescent="0.35">
      <c r="B295" s="5"/>
      <c r="C295" s="5"/>
      <c r="D295" s="1"/>
      <c r="E295" s="5"/>
      <c r="G295" s="6"/>
      <c r="H295" s="1"/>
    </row>
    <row r="296" spans="2:8" x14ac:dyDescent="0.35">
      <c r="B296" s="5"/>
      <c r="C296" s="5"/>
      <c r="D296" s="1"/>
      <c r="E296" s="5"/>
      <c r="G296" s="6"/>
      <c r="H296" s="1"/>
    </row>
    <row r="297" spans="2:8" x14ac:dyDescent="0.35">
      <c r="B297" s="5"/>
      <c r="C297" s="5"/>
      <c r="D297" s="1"/>
      <c r="E297" s="5"/>
      <c r="G297" s="6"/>
      <c r="H297" s="1"/>
    </row>
    <row r="298" spans="2:8" x14ac:dyDescent="0.35">
      <c r="B298" s="5"/>
      <c r="C298" s="5"/>
      <c r="D298" s="1"/>
      <c r="E298" s="5"/>
      <c r="G298" s="6"/>
      <c r="H298" s="1"/>
    </row>
    <row r="299" spans="2:8" x14ac:dyDescent="0.35">
      <c r="B299" s="5"/>
      <c r="C299" s="5"/>
      <c r="D299" s="1"/>
      <c r="E299" s="5"/>
      <c r="G299" s="6"/>
      <c r="H299" s="1"/>
    </row>
    <row r="300" spans="2:8" x14ac:dyDescent="0.35">
      <c r="B300" s="5"/>
      <c r="C300" s="5"/>
      <c r="D300" s="1"/>
      <c r="E300" s="5"/>
      <c r="G300" s="6"/>
      <c r="H300" s="1"/>
    </row>
    <row r="301" spans="2:8" x14ac:dyDescent="0.35">
      <c r="B301" s="5"/>
      <c r="C301" s="5"/>
      <c r="D301" s="1"/>
      <c r="E301" s="5"/>
      <c r="G301" s="6"/>
      <c r="H301" s="1"/>
    </row>
    <row r="302" spans="2:8" x14ac:dyDescent="0.35">
      <c r="B302" s="5"/>
      <c r="C302" s="5"/>
      <c r="D302" s="1"/>
      <c r="E302" s="5"/>
      <c r="G302" s="6"/>
      <c r="H302" s="1"/>
    </row>
    <row r="303" spans="2:8" x14ac:dyDescent="0.35">
      <c r="B303" s="5"/>
      <c r="C303" s="5"/>
      <c r="D303" s="1"/>
      <c r="E303" s="5"/>
      <c r="G303" s="6"/>
      <c r="H303" s="1"/>
    </row>
    <row r="304" spans="2:8" x14ac:dyDescent="0.35">
      <c r="B304" s="5"/>
      <c r="C304" s="5"/>
      <c r="D304" s="1"/>
      <c r="E304" s="5"/>
      <c r="G304" s="6"/>
      <c r="H304" s="1"/>
    </row>
    <row r="305" spans="2:8" x14ac:dyDescent="0.35">
      <c r="B305" s="5"/>
      <c r="C305" s="5"/>
      <c r="D305" s="1"/>
      <c r="E305" s="5"/>
      <c r="G305" s="6"/>
      <c r="H305" s="1"/>
    </row>
    <row r="306" spans="2:8" x14ac:dyDescent="0.35">
      <c r="B306" s="5"/>
      <c r="C306" s="5"/>
      <c r="D306" s="1"/>
      <c r="E306" s="5"/>
      <c r="G306" s="6"/>
      <c r="H306" s="1"/>
    </row>
    <row r="307" spans="2:8" x14ac:dyDescent="0.35">
      <c r="B307" s="5"/>
      <c r="C307" s="5"/>
      <c r="D307" s="1"/>
      <c r="E307" s="5"/>
      <c r="G307" s="6"/>
      <c r="H307" s="1"/>
    </row>
    <row r="308" spans="2:8" x14ac:dyDescent="0.35">
      <c r="B308" s="5"/>
      <c r="C308" s="5"/>
      <c r="D308" s="1"/>
      <c r="E308" s="5"/>
      <c r="G308" s="6"/>
      <c r="H308" s="1"/>
    </row>
    <row r="309" spans="2:8" x14ac:dyDescent="0.35">
      <c r="B309" s="5"/>
      <c r="C309" s="5"/>
      <c r="D309" s="1"/>
      <c r="E309" s="5"/>
      <c r="G309" s="6"/>
      <c r="H309" s="1"/>
    </row>
    <row r="310" spans="2:8" x14ac:dyDescent="0.35">
      <c r="B310" s="5"/>
      <c r="C310" s="5"/>
      <c r="D310" s="1"/>
      <c r="E310" s="5"/>
      <c r="G310" s="6"/>
      <c r="H310" s="1"/>
    </row>
    <row r="311" spans="2:8" x14ac:dyDescent="0.35">
      <c r="B311" s="5"/>
      <c r="C311" s="5"/>
      <c r="D311" s="1"/>
      <c r="E311" s="5"/>
      <c r="G311" s="6"/>
      <c r="H311" s="1"/>
    </row>
    <row r="312" spans="2:8" x14ac:dyDescent="0.35">
      <c r="B312" s="5"/>
      <c r="C312" s="5"/>
      <c r="D312" s="1"/>
      <c r="E312" s="5"/>
      <c r="G312" s="6"/>
      <c r="H312" s="1"/>
    </row>
    <row r="313" spans="2:8" x14ac:dyDescent="0.35">
      <c r="B313" s="5"/>
      <c r="C313" s="5"/>
      <c r="D313" s="1"/>
      <c r="E313" s="5"/>
      <c r="G313" s="6"/>
      <c r="H313" s="1"/>
    </row>
    <row r="314" spans="2:8" x14ac:dyDescent="0.35">
      <c r="B314" s="5"/>
      <c r="C314" s="5"/>
      <c r="D314" s="1"/>
      <c r="E314" s="5"/>
      <c r="G314" s="6"/>
      <c r="H314" s="1"/>
    </row>
    <row r="315" spans="2:8" x14ac:dyDescent="0.35">
      <c r="B315" s="5"/>
      <c r="C315" s="5"/>
      <c r="D315" s="1"/>
      <c r="E315" s="5"/>
      <c r="G315" s="6"/>
      <c r="H315" s="1"/>
    </row>
    <row r="316" spans="2:8" x14ac:dyDescent="0.35">
      <c r="B316" s="5"/>
      <c r="C316" s="5"/>
      <c r="D316" s="1"/>
      <c r="E316" s="5"/>
      <c r="G316" s="6"/>
      <c r="H316" s="1"/>
    </row>
    <row r="317" spans="2:8" x14ac:dyDescent="0.35">
      <c r="B317" s="5"/>
      <c r="C317" s="5"/>
      <c r="D317" s="1"/>
      <c r="E317" s="5"/>
      <c r="G317" s="6"/>
      <c r="H317" s="1"/>
    </row>
    <row r="318" spans="2:8" x14ac:dyDescent="0.35">
      <c r="B318" s="5"/>
      <c r="C318" s="5"/>
      <c r="D318" s="1"/>
      <c r="E318" s="5"/>
      <c r="G318" s="6"/>
      <c r="H318" s="1"/>
    </row>
    <row r="319" spans="2:8" x14ac:dyDescent="0.35">
      <c r="B319" s="5"/>
      <c r="C319" s="5"/>
      <c r="D319" s="1"/>
      <c r="E319" s="5"/>
      <c r="G319" s="6"/>
      <c r="H319" s="1"/>
    </row>
    <row r="320" spans="2:8" x14ac:dyDescent="0.35">
      <c r="B320" s="5"/>
      <c r="C320" s="5"/>
      <c r="D320" s="1"/>
      <c r="E320" s="5"/>
      <c r="G320" s="6"/>
      <c r="H320" s="1"/>
    </row>
    <row r="321" spans="2:8" x14ac:dyDescent="0.35">
      <c r="B321" s="5"/>
      <c r="C321" s="5"/>
      <c r="D321" s="1"/>
      <c r="E321" s="5"/>
      <c r="G321" s="6"/>
      <c r="H321" s="1"/>
    </row>
    <row r="322" spans="2:8" x14ac:dyDescent="0.35">
      <c r="B322" s="5"/>
      <c r="C322" s="5"/>
      <c r="D322" s="1"/>
      <c r="E322" s="5"/>
      <c r="G322" s="6"/>
      <c r="H322" s="1"/>
    </row>
    <row r="323" spans="2:8" x14ac:dyDescent="0.35">
      <c r="B323" s="5"/>
      <c r="C323" s="5"/>
      <c r="D323" s="1"/>
      <c r="E323" s="5"/>
      <c r="G323" s="6"/>
      <c r="H323" s="1"/>
    </row>
    <row r="324" spans="2:8" x14ac:dyDescent="0.35">
      <c r="B324" s="5"/>
      <c r="C324" s="5"/>
      <c r="D324" s="1"/>
      <c r="E324" s="5"/>
      <c r="G324" s="6"/>
      <c r="H324" s="1"/>
    </row>
    <row r="325" spans="2:8" x14ac:dyDescent="0.35">
      <c r="B325" s="5"/>
      <c r="C325" s="5"/>
      <c r="D325" s="1"/>
      <c r="E325" s="5"/>
      <c r="G325" s="6"/>
      <c r="H325" s="1"/>
    </row>
    <row r="326" spans="2:8" x14ac:dyDescent="0.35">
      <c r="B326" s="5"/>
      <c r="C326" s="5"/>
      <c r="D326" s="1"/>
      <c r="E326" s="5"/>
      <c r="G326" s="6"/>
      <c r="H326" s="1"/>
    </row>
    <row r="327" spans="2:8" x14ac:dyDescent="0.35">
      <c r="B327" s="5"/>
      <c r="C327" s="5"/>
      <c r="D327" s="1"/>
      <c r="E327" s="5"/>
      <c r="G327" s="6"/>
      <c r="H327" s="1"/>
    </row>
    <row r="328" spans="2:8" x14ac:dyDescent="0.35">
      <c r="B328" s="5"/>
      <c r="C328" s="5"/>
      <c r="D328" s="1"/>
      <c r="E328" s="5"/>
      <c r="G328" s="6"/>
      <c r="H328" s="1"/>
    </row>
    <row r="329" spans="2:8" x14ac:dyDescent="0.35">
      <c r="B329" s="5"/>
      <c r="C329" s="5"/>
      <c r="D329" s="1"/>
      <c r="E329" s="5"/>
      <c r="G329" s="6"/>
      <c r="H329" s="1"/>
    </row>
    <row r="330" spans="2:8" x14ac:dyDescent="0.35">
      <c r="B330" s="5"/>
      <c r="C330" s="5"/>
      <c r="D330" s="1"/>
      <c r="E330" s="5"/>
      <c r="G330" s="6"/>
      <c r="H330" s="1"/>
    </row>
    <row r="331" spans="2:8" x14ac:dyDescent="0.35">
      <c r="B331" s="5"/>
      <c r="C331" s="5"/>
      <c r="D331" s="1"/>
      <c r="E331" s="5"/>
      <c r="G331" s="6"/>
      <c r="H331" s="1"/>
    </row>
    <row r="332" spans="2:8" x14ac:dyDescent="0.35">
      <c r="B332" s="5"/>
      <c r="C332" s="5"/>
      <c r="D332" s="1"/>
      <c r="E332" s="5"/>
      <c r="G332" s="6"/>
      <c r="H332" s="1"/>
    </row>
    <row r="333" spans="2:8" x14ac:dyDescent="0.35">
      <c r="B333" s="5"/>
      <c r="C333" s="5"/>
      <c r="D333" s="1"/>
      <c r="E333" s="5"/>
      <c r="G333" s="6"/>
      <c r="H333" s="1"/>
    </row>
    <row r="334" spans="2:8" x14ac:dyDescent="0.35">
      <c r="B334" s="5"/>
      <c r="C334" s="5"/>
      <c r="D334" s="1"/>
      <c r="E334" s="5"/>
      <c r="G334" s="6"/>
      <c r="H334" s="1"/>
    </row>
    <row r="335" spans="2:8" x14ac:dyDescent="0.35">
      <c r="B335" s="5"/>
      <c r="C335" s="5"/>
      <c r="D335" s="1"/>
      <c r="E335" s="5"/>
      <c r="G335" s="6"/>
      <c r="H335" s="1"/>
    </row>
    <row r="336" spans="2:8" x14ac:dyDescent="0.35">
      <c r="B336" s="5"/>
      <c r="C336" s="5"/>
      <c r="D336" s="1"/>
      <c r="E336" s="5"/>
      <c r="G336" s="6"/>
      <c r="H336" s="1"/>
    </row>
    <row r="337" spans="2:8" x14ac:dyDescent="0.35">
      <c r="B337" s="5"/>
      <c r="C337" s="5"/>
      <c r="D337" s="1"/>
      <c r="E337" s="5"/>
      <c r="G337" s="6"/>
      <c r="H337" s="1"/>
    </row>
    <row r="338" spans="2:8" x14ac:dyDescent="0.35">
      <c r="B338" s="5"/>
      <c r="C338" s="5"/>
      <c r="D338" s="1"/>
      <c r="E338" s="5"/>
      <c r="G338" s="6"/>
      <c r="H338" s="1"/>
    </row>
    <row r="339" spans="2:8" x14ac:dyDescent="0.35">
      <c r="B339" s="5"/>
      <c r="C339" s="5"/>
      <c r="D339" s="1"/>
      <c r="E339" s="5"/>
      <c r="G339" s="6"/>
      <c r="H339" s="1"/>
    </row>
    <row r="340" spans="2:8" x14ac:dyDescent="0.35">
      <c r="B340" s="5"/>
      <c r="C340" s="5"/>
      <c r="D340" s="1"/>
      <c r="E340" s="5"/>
      <c r="G340" s="6"/>
      <c r="H340" s="1"/>
    </row>
    <row r="341" spans="2:8" x14ac:dyDescent="0.35">
      <c r="B341" s="5"/>
      <c r="C341" s="5"/>
      <c r="D341" s="1"/>
      <c r="E341" s="5"/>
      <c r="G341" s="6"/>
      <c r="H341" s="1"/>
    </row>
    <row r="342" spans="2:8" x14ac:dyDescent="0.35">
      <c r="B342" s="5"/>
      <c r="C342" s="5"/>
      <c r="D342" s="1"/>
      <c r="E342" s="5"/>
      <c r="G342" s="6"/>
      <c r="H342" s="1"/>
    </row>
    <row r="343" spans="2:8" x14ac:dyDescent="0.35">
      <c r="B343" s="5"/>
      <c r="C343" s="5"/>
      <c r="D343" s="1"/>
      <c r="E343" s="5"/>
      <c r="G343" s="6"/>
      <c r="H343" s="1"/>
    </row>
    <row r="344" spans="2:8" x14ac:dyDescent="0.35">
      <c r="B344" s="5"/>
      <c r="C344" s="5"/>
      <c r="D344" s="1"/>
      <c r="E344" s="5"/>
      <c r="G344" s="6"/>
      <c r="H344" s="1"/>
    </row>
    <row r="345" spans="2:8" x14ac:dyDescent="0.35">
      <c r="B345" s="5"/>
      <c r="C345" s="5"/>
      <c r="D345" s="1"/>
      <c r="E345" s="5"/>
      <c r="G345" s="6"/>
      <c r="H345" s="1"/>
    </row>
    <row r="346" spans="2:8" x14ac:dyDescent="0.35">
      <c r="B346" s="5"/>
      <c r="C346" s="5"/>
      <c r="D346" s="1"/>
      <c r="E346" s="5"/>
      <c r="G346" s="6"/>
      <c r="H346" s="1"/>
    </row>
    <row r="347" spans="2:8" x14ac:dyDescent="0.35">
      <c r="B347" s="5"/>
      <c r="C347" s="5"/>
      <c r="D347" s="1"/>
      <c r="E347" s="5"/>
      <c r="G347" s="6"/>
      <c r="H347" s="1"/>
    </row>
    <row r="348" spans="2:8" x14ac:dyDescent="0.35">
      <c r="B348" s="5"/>
      <c r="C348" s="5"/>
      <c r="D348" s="1"/>
      <c r="E348" s="5"/>
      <c r="G348" s="6"/>
      <c r="H348" s="1"/>
    </row>
    <row r="349" spans="2:8" x14ac:dyDescent="0.35">
      <c r="B349" s="5"/>
      <c r="C349" s="5"/>
      <c r="D349" s="1"/>
      <c r="E349" s="5"/>
      <c r="G349" s="6"/>
      <c r="H349" s="1"/>
    </row>
    <row r="350" spans="2:8" x14ac:dyDescent="0.35">
      <c r="B350" s="5"/>
      <c r="C350" s="5"/>
      <c r="D350" s="1"/>
      <c r="E350" s="5"/>
      <c r="G350" s="6"/>
      <c r="H350" s="1"/>
    </row>
    <row r="351" spans="2:8" x14ac:dyDescent="0.35">
      <c r="B351" s="5"/>
      <c r="C351" s="5"/>
      <c r="D351" s="1"/>
      <c r="E351" s="5"/>
      <c r="G351" s="6"/>
      <c r="H351" s="1"/>
    </row>
    <row r="352" spans="2:8" x14ac:dyDescent="0.35">
      <c r="B352" s="5"/>
      <c r="C352" s="5"/>
      <c r="D352" s="1"/>
      <c r="E352" s="5"/>
      <c r="G352" s="6"/>
      <c r="H352" s="1"/>
    </row>
    <row r="353" spans="2:8" x14ac:dyDescent="0.35">
      <c r="B353" s="5"/>
      <c r="C353" s="5"/>
      <c r="D353" s="1"/>
      <c r="E353" s="5"/>
      <c r="G353" s="6"/>
      <c r="H353" s="1"/>
    </row>
    <row r="354" spans="2:8" x14ac:dyDescent="0.35">
      <c r="B354" s="5"/>
      <c r="C354" s="5"/>
      <c r="D354" s="1"/>
      <c r="E354" s="5"/>
      <c r="G354" s="6"/>
      <c r="H354" s="1"/>
    </row>
    <row r="355" spans="2:8" x14ac:dyDescent="0.35">
      <c r="B355" s="5"/>
      <c r="C355" s="5"/>
      <c r="D355" s="1"/>
      <c r="E355" s="5"/>
      <c r="G355" s="6"/>
      <c r="H355" s="1"/>
    </row>
    <row r="356" spans="2:8" x14ac:dyDescent="0.35">
      <c r="B356" s="5"/>
      <c r="C356" s="5"/>
      <c r="D356" s="1"/>
      <c r="E356" s="5"/>
      <c r="G356" s="6"/>
      <c r="H356" s="1"/>
    </row>
    <row r="357" spans="2:8" x14ac:dyDescent="0.35">
      <c r="B357" s="5"/>
      <c r="C357" s="5"/>
      <c r="D357" s="1"/>
      <c r="E357" s="5"/>
      <c r="G357" s="6"/>
      <c r="H357" s="1"/>
    </row>
    <row r="358" spans="2:8" x14ac:dyDescent="0.35">
      <c r="B358" s="5"/>
      <c r="C358" s="5"/>
      <c r="D358" s="1"/>
      <c r="E358" s="5"/>
      <c r="G358" s="6"/>
      <c r="H358" s="1"/>
    </row>
    <row r="359" spans="2:8" x14ac:dyDescent="0.35">
      <c r="B359" s="5"/>
      <c r="C359" s="5"/>
      <c r="D359" s="1"/>
      <c r="E359" s="5"/>
      <c r="G359" s="6"/>
      <c r="H359" s="1"/>
    </row>
    <row r="360" spans="2:8" x14ac:dyDescent="0.35">
      <c r="B360" s="5"/>
      <c r="C360" s="5"/>
      <c r="D360" s="1"/>
      <c r="E360" s="5"/>
      <c r="G360" s="6"/>
      <c r="H360" s="1"/>
    </row>
    <row r="361" spans="2:8" x14ac:dyDescent="0.35">
      <c r="B361" s="5"/>
      <c r="C361" s="5"/>
      <c r="D361" s="1"/>
      <c r="E361" s="5"/>
      <c r="G361" s="6"/>
      <c r="H361" s="1"/>
    </row>
    <row r="362" spans="2:8" x14ac:dyDescent="0.35">
      <c r="B362" s="5"/>
      <c r="C362" s="5"/>
      <c r="D362" s="1"/>
      <c r="E362" s="5"/>
      <c r="G362" s="6"/>
      <c r="H362" s="1"/>
    </row>
    <row r="363" spans="2:8" x14ac:dyDescent="0.35">
      <c r="B363" s="5"/>
      <c r="C363" s="5"/>
      <c r="D363" s="1"/>
      <c r="E363" s="5"/>
      <c r="G363" s="6"/>
      <c r="H363" s="1"/>
    </row>
    <row r="364" spans="2:8" x14ac:dyDescent="0.35">
      <c r="B364" s="5"/>
      <c r="C364" s="5"/>
      <c r="D364" s="1"/>
      <c r="E364" s="5"/>
      <c r="G364" s="6"/>
      <c r="H364" s="1"/>
    </row>
    <row r="365" spans="2:8" x14ac:dyDescent="0.35">
      <c r="B365" s="5"/>
      <c r="C365" s="5"/>
      <c r="D365" s="1"/>
      <c r="E365" s="5"/>
      <c r="G365" s="6"/>
      <c r="H365" s="1"/>
    </row>
    <row r="366" spans="2:8" x14ac:dyDescent="0.35">
      <c r="B366" s="5"/>
      <c r="C366" s="5"/>
      <c r="D366" s="1"/>
      <c r="E366" s="5"/>
      <c r="G366" s="6"/>
      <c r="H366" s="1"/>
    </row>
    <row r="367" spans="2:8" x14ac:dyDescent="0.35">
      <c r="B367" s="5"/>
      <c r="C367" s="5"/>
      <c r="D367" s="1"/>
      <c r="E367" s="5"/>
      <c r="G367" s="6"/>
      <c r="H367" s="1"/>
    </row>
    <row r="368" spans="2:8" x14ac:dyDescent="0.35">
      <c r="B368" s="5"/>
      <c r="C368" s="5"/>
      <c r="D368" s="1"/>
      <c r="E368" s="5"/>
      <c r="G368" s="6"/>
      <c r="H368" s="1"/>
    </row>
    <row r="369" spans="2:8" x14ac:dyDescent="0.35">
      <c r="B369" s="5"/>
      <c r="C369" s="5"/>
      <c r="D369" s="1"/>
      <c r="E369" s="5"/>
      <c r="G369" s="6"/>
      <c r="H369" s="1"/>
    </row>
    <row r="370" spans="2:8" x14ac:dyDescent="0.35">
      <c r="B370" s="5"/>
      <c r="C370" s="5"/>
      <c r="D370" s="1"/>
      <c r="E370" s="5"/>
      <c r="G370" s="6"/>
      <c r="H370" s="1"/>
    </row>
    <row r="371" spans="2:8" x14ac:dyDescent="0.35">
      <c r="B371" s="5"/>
      <c r="C371" s="5"/>
      <c r="D371" s="1"/>
      <c r="E371" s="5"/>
      <c r="G371" s="6"/>
      <c r="H371" s="1"/>
    </row>
    <row r="372" spans="2:8" x14ac:dyDescent="0.35">
      <c r="B372" s="5"/>
      <c r="C372" s="5"/>
      <c r="D372" s="1"/>
      <c r="E372" s="5"/>
      <c r="G372" s="6"/>
      <c r="H372" s="1"/>
    </row>
    <row r="373" spans="2:8" x14ac:dyDescent="0.35">
      <c r="B373" s="5"/>
      <c r="C373" s="5"/>
      <c r="D373" s="1"/>
      <c r="E373" s="5"/>
      <c r="G373" s="6"/>
      <c r="H373" s="1"/>
    </row>
    <row r="374" spans="2:8" x14ac:dyDescent="0.35">
      <c r="B374" s="5"/>
      <c r="C374" s="5"/>
      <c r="D374" s="1"/>
      <c r="E374" s="5"/>
      <c r="G374" s="6"/>
      <c r="H374" s="1"/>
    </row>
    <row r="375" spans="2:8" x14ac:dyDescent="0.35">
      <c r="B375" s="5"/>
      <c r="C375" s="5"/>
      <c r="D375" s="1"/>
      <c r="E375" s="5"/>
      <c r="G375" s="6"/>
      <c r="H375" s="1"/>
    </row>
    <row r="376" spans="2:8" x14ac:dyDescent="0.35">
      <c r="B376" s="5"/>
      <c r="C376" s="5"/>
      <c r="D376" s="1"/>
      <c r="E376" s="5"/>
      <c r="G376" s="6"/>
      <c r="H376" s="1"/>
    </row>
    <row r="377" spans="2:8" x14ac:dyDescent="0.35">
      <c r="B377" s="5"/>
      <c r="C377" s="5"/>
      <c r="D377" s="1"/>
      <c r="E377" s="5"/>
      <c r="G377" s="6"/>
      <c r="H377" s="1"/>
    </row>
    <row r="378" spans="2:8" x14ac:dyDescent="0.35">
      <c r="B378" s="5"/>
      <c r="C378" s="5"/>
      <c r="D378" s="1"/>
      <c r="E378" s="5"/>
      <c r="G378" s="6"/>
      <c r="H378" s="1"/>
    </row>
    <row r="379" spans="2:8" x14ac:dyDescent="0.35">
      <c r="B379" s="5"/>
      <c r="C379" s="5"/>
      <c r="D379" s="1"/>
      <c r="E379" s="5"/>
      <c r="G379" s="6"/>
      <c r="H379" s="1"/>
    </row>
    <row r="380" spans="2:8" x14ac:dyDescent="0.35">
      <c r="B380" s="5"/>
      <c r="C380" s="5"/>
      <c r="D380" s="1"/>
      <c r="E380" s="5"/>
      <c r="G380" s="6"/>
      <c r="H380" s="1"/>
    </row>
    <row r="381" spans="2:8" x14ac:dyDescent="0.35">
      <c r="B381" s="5"/>
      <c r="C381" s="5"/>
      <c r="D381" s="1"/>
      <c r="E381" s="5"/>
      <c r="G381" s="6"/>
      <c r="H381" s="1"/>
    </row>
    <row r="382" spans="2:8" x14ac:dyDescent="0.35">
      <c r="B382" s="5"/>
      <c r="C382" s="5"/>
      <c r="D382" s="1"/>
      <c r="E382" s="5"/>
      <c r="G382" s="6"/>
      <c r="H382" s="1"/>
    </row>
    <row r="383" spans="2:8" x14ac:dyDescent="0.35">
      <c r="B383" s="5"/>
      <c r="C383" s="5"/>
      <c r="D383" s="1"/>
      <c r="E383" s="5"/>
      <c r="G383" s="6"/>
      <c r="H383" s="1"/>
    </row>
    <row r="384" spans="2:8" x14ac:dyDescent="0.35">
      <c r="B384" s="5"/>
      <c r="C384" s="5"/>
      <c r="D384" s="1"/>
      <c r="E384" s="5"/>
      <c r="G384" s="6"/>
      <c r="H384" s="1"/>
    </row>
    <row r="385" spans="2:8" x14ac:dyDescent="0.35">
      <c r="B385" s="5"/>
      <c r="C385" s="5"/>
      <c r="D385" s="1"/>
      <c r="E385" s="5"/>
      <c r="G385" s="6"/>
      <c r="H385" s="1"/>
    </row>
    <row r="386" spans="2:8" x14ac:dyDescent="0.35">
      <c r="B386" s="5"/>
      <c r="C386" s="5"/>
      <c r="D386" s="1"/>
      <c r="E386" s="5"/>
      <c r="G386" s="6"/>
      <c r="H386" s="1"/>
    </row>
    <row r="387" spans="2:8" x14ac:dyDescent="0.35">
      <c r="B387" s="5"/>
      <c r="C387" s="5"/>
      <c r="D387" s="1"/>
      <c r="E387" s="5"/>
      <c r="G387" s="6"/>
      <c r="H387" s="1"/>
    </row>
    <row r="388" spans="2:8" x14ac:dyDescent="0.35">
      <c r="B388" s="5"/>
      <c r="C388" s="5"/>
      <c r="D388" s="1"/>
      <c r="E388" s="5"/>
      <c r="G388" s="6"/>
      <c r="H388" s="1"/>
    </row>
    <row r="389" spans="2:8" x14ac:dyDescent="0.35">
      <c r="B389" s="5"/>
      <c r="C389" s="5"/>
      <c r="D389" s="1"/>
      <c r="E389" s="5"/>
      <c r="G389" s="6"/>
      <c r="H389" s="1"/>
    </row>
    <row r="390" spans="2:8" x14ac:dyDescent="0.35">
      <c r="B390" s="5"/>
      <c r="C390" s="5"/>
      <c r="D390" s="1"/>
      <c r="E390" s="5"/>
      <c r="G390" s="6"/>
      <c r="H390" s="1"/>
    </row>
    <row r="391" spans="2:8" x14ac:dyDescent="0.35">
      <c r="B391" s="5"/>
      <c r="C391" s="5"/>
      <c r="D391" s="1"/>
      <c r="E391" s="5"/>
      <c r="G391" s="6"/>
      <c r="H391" s="1"/>
    </row>
    <row r="392" spans="2:8" x14ac:dyDescent="0.35">
      <c r="B392" s="5"/>
      <c r="C392" s="5"/>
      <c r="D392" s="1"/>
      <c r="E392" s="5"/>
      <c r="G392" s="6"/>
      <c r="H392" s="1"/>
    </row>
    <row r="393" spans="2:8" x14ac:dyDescent="0.35">
      <c r="B393" s="5"/>
      <c r="C393" s="5"/>
      <c r="D393" s="1"/>
      <c r="E393" s="5"/>
      <c r="G393" s="6"/>
      <c r="H393" s="1"/>
    </row>
    <row r="394" spans="2:8" x14ac:dyDescent="0.35">
      <c r="B394" s="5"/>
      <c r="C394" s="5"/>
      <c r="D394" s="1"/>
      <c r="E394" s="5"/>
      <c r="G394" s="6"/>
      <c r="H394" s="1"/>
    </row>
    <row r="395" spans="2:8" x14ac:dyDescent="0.35">
      <c r="B395" s="5"/>
      <c r="C395" s="5"/>
      <c r="D395" s="1"/>
      <c r="E395" s="5"/>
      <c r="G395" s="6"/>
      <c r="H395" s="1"/>
    </row>
    <row r="396" spans="2:8" x14ac:dyDescent="0.35">
      <c r="B396" s="5"/>
      <c r="C396" s="5"/>
      <c r="D396" s="1"/>
      <c r="E396" s="5"/>
      <c r="G396" s="6"/>
      <c r="H396" s="1"/>
    </row>
    <row r="397" spans="2:8" x14ac:dyDescent="0.35">
      <c r="B397" s="5"/>
      <c r="C397" s="5"/>
      <c r="D397" s="1"/>
      <c r="E397" s="5"/>
      <c r="G397" s="6"/>
      <c r="H397" s="1"/>
    </row>
    <row r="398" spans="2:8" x14ac:dyDescent="0.35">
      <c r="B398" s="5"/>
      <c r="C398" s="5"/>
      <c r="D398" s="1"/>
      <c r="E398" s="5"/>
      <c r="G398" s="6"/>
      <c r="H398" s="1"/>
    </row>
    <row r="399" spans="2:8" x14ac:dyDescent="0.35">
      <c r="B399" s="5"/>
      <c r="C399" s="5"/>
      <c r="D399" s="1"/>
      <c r="E399" s="5"/>
      <c r="G399" s="6"/>
      <c r="H399" s="1"/>
    </row>
    <row r="400" spans="2:8" x14ac:dyDescent="0.35">
      <c r="B400" s="5"/>
      <c r="C400" s="5"/>
      <c r="D400" s="1"/>
      <c r="E400" s="5"/>
      <c r="G400" s="6"/>
      <c r="H400" s="1"/>
    </row>
    <row r="401" spans="2:8" x14ac:dyDescent="0.35">
      <c r="B401" s="5"/>
      <c r="C401" s="5"/>
      <c r="D401" s="1"/>
      <c r="E401" s="5"/>
      <c r="G401" s="6"/>
      <c r="H401" s="1"/>
    </row>
    <row r="402" spans="2:8" x14ac:dyDescent="0.35">
      <c r="B402" s="5"/>
      <c r="C402" s="5"/>
      <c r="D402" s="1"/>
      <c r="E402" s="5"/>
      <c r="G402" s="6"/>
      <c r="H402" s="1"/>
    </row>
    <row r="403" spans="2:8" x14ac:dyDescent="0.35">
      <c r="B403" s="5"/>
      <c r="C403" s="5"/>
      <c r="D403" s="1"/>
      <c r="E403" s="5"/>
      <c r="G403" s="6"/>
      <c r="H403" s="1"/>
    </row>
    <row r="404" spans="2:8" x14ac:dyDescent="0.35">
      <c r="B404" s="5"/>
      <c r="C404" s="5"/>
      <c r="D404" s="1"/>
      <c r="E404" s="5"/>
      <c r="G404" s="6"/>
      <c r="H404" s="1"/>
    </row>
    <row r="405" spans="2:8" x14ac:dyDescent="0.35">
      <c r="B405" s="5"/>
      <c r="C405" s="5"/>
      <c r="D405" s="1"/>
      <c r="E405" s="5"/>
      <c r="G405" s="6"/>
      <c r="H405" s="1"/>
    </row>
    <row r="406" spans="2:8" x14ac:dyDescent="0.35">
      <c r="B406" s="5"/>
      <c r="C406" s="5"/>
      <c r="D406" s="1"/>
      <c r="E406" s="5"/>
      <c r="G406" s="6"/>
      <c r="H406" s="1"/>
    </row>
    <row r="407" spans="2:8" x14ac:dyDescent="0.35">
      <c r="B407" s="5"/>
      <c r="C407" s="5"/>
      <c r="D407" s="1"/>
      <c r="E407" s="5"/>
      <c r="G407" s="6"/>
      <c r="H407" s="1"/>
    </row>
    <row r="408" spans="2:8" x14ac:dyDescent="0.35">
      <c r="B408" s="5"/>
      <c r="C408" s="5"/>
      <c r="D408" s="1"/>
      <c r="E408" s="5"/>
      <c r="G408" s="6"/>
      <c r="H408" s="1"/>
    </row>
    <row r="409" spans="2:8" x14ac:dyDescent="0.35">
      <c r="B409" s="5"/>
      <c r="C409" s="5"/>
      <c r="D409" s="1"/>
      <c r="E409" s="5"/>
      <c r="G409" s="6"/>
      <c r="H409" s="1"/>
    </row>
    <row r="410" spans="2:8" x14ac:dyDescent="0.35">
      <c r="B410" s="5"/>
      <c r="C410" s="5"/>
      <c r="D410" s="1"/>
      <c r="E410" s="5"/>
      <c r="G410" s="6"/>
      <c r="H410" s="1"/>
    </row>
    <row r="411" spans="2:8" x14ac:dyDescent="0.35">
      <c r="B411" s="5"/>
      <c r="C411" s="5"/>
      <c r="D411" s="1"/>
      <c r="E411" s="5"/>
      <c r="G411" s="6"/>
      <c r="H411" s="1"/>
    </row>
    <row r="412" spans="2:8" x14ac:dyDescent="0.35">
      <c r="B412" s="5"/>
      <c r="C412" s="5"/>
      <c r="D412" s="1"/>
      <c r="E412" s="5"/>
      <c r="G412" s="6"/>
      <c r="H412" s="1"/>
    </row>
    <row r="413" spans="2:8" x14ac:dyDescent="0.35">
      <c r="B413" s="5"/>
      <c r="C413" s="5"/>
      <c r="D413" s="1"/>
      <c r="E413" s="5"/>
      <c r="G413" s="6"/>
      <c r="H413" s="1"/>
    </row>
    <row r="414" spans="2:8" x14ac:dyDescent="0.35">
      <c r="B414" s="5"/>
      <c r="C414" s="5"/>
      <c r="D414" s="1"/>
      <c r="E414" s="5"/>
      <c r="G414" s="6"/>
      <c r="H414" s="1"/>
    </row>
    <row r="415" spans="2:8" x14ac:dyDescent="0.35">
      <c r="B415" s="5"/>
      <c r="C415" s="5"/>
      <c r="D415" s="1"/>
      <c r="E415" s="5"/>
      <c r="G415" s="6"/>
      <c r="H415" s="1"/>
    </row>
    <row r="416" spans="2:8" x14ac:dyDescent="0.35">
      <c r="B416" s="5"/>
      <c r="C416" s="5"/>
      <c r="D416" s="1"/>
      <c r="E416" s="5"/>
      <c r="G416" s="6"/>
      <c r="H416" s="1"/>
    </row>
    <row r="417" spans="2:8" x14ac:dyDescent="0.35">
      <c r="B417" s="5"/>
      <c r="C417" s="5"/>
      <c r="D417" s="1"/>
      <c r="E417" s="5"/>
      <c r="G417" s="6"/>
      <c r="H417" s="1"/>
    </row>
    <row r="418" spans="2:8" x14ac:dyDescent="0.35">
      <c r="B418" s="5"/>
      <c r="C418" s="5"/>
      <c r="D418" s="1"/>
      <c r="E418" s="5"/>
      <c r="G418" s="6"/>
      <c r="H418" s="1"/>
    </row>
    <row r="419" spans="2:8" x14ac:dyDescent="0.35">
      <c r="B419" s="5"/>
      <c r="C419" s="5"/>
      <c r="D419" s="1"/>
      <c r="E419" s="5"/>
      <c r="G419" s="6"/>
      <c r="H419" s="1"/>
    </row>
    <row r="420" spans="2:8" x14ac:dyDescent="0.35">
      <c r="B420" s="5"/>
      <c r="C420" s="5"/>
      <c r="D420" s="1"/>
      <c r="E420" s="5"/>
      <c r="G420" s="6"/>
      <c r="H420" s="1"/>
    </row>
    <row r="421" spans="2:8" x14ac:dyDescent="0.35">
      <c r="B421" s="5"/>
      <c r="C421" s="5"/>
      <c r="D421" s="1"/>
      <c r="E421" s="5"/>
      <c r="G421" s="6"/>
      <c r="H421" s="1"/>
    </row>
    <row r="422" spans="2:8" x14ac:dyDescent="0.35">
      <c r="B422" s="5"/>
      <c r="C422" s="5"/>
      <c r="D422" s="1"/>
      <c r="E422" s="5"/>
      <c r="G422" s="6"/>
      <c r="H422" s="1"/>
    </row>
    <row r="423" spans="2:8" x14ac:dyDescent="0.35">
      <c r="B423" s="5"/>
      <c r="C423" s="5"/>
      <c r="D423" s="1"/>
      <c r="E423" s="5"/>
      <c r="G423" s="6"/>
      <c r="H423" s="1"/>
    </row>
    <row r="424" spans="2:8" x14ac:dyDescent="0.35">
      <c r="B424" s="5"/>
      <c r="C424" s="5"/>
      <c r="D424" s="1"/>
      <c r="E424" s="5"/>
      <c r="G424" s="6"/>
      <c r="H424" s="1"/>
    </row>
    <row r="425" spans="2:8" x14ac:dyDescent="0.35">
      <c r="B425" s="5"/>
      <c r="C425" s="5"/>
      <c r="D425" s="1"/>
      <c r="E425" s="5"/>
      <c r="G425" s="6"/>
      <c r="H425" s="1"/>
    </row>
    <row r="426" spans="2:8" x14ac:dyDescent="0.35">
      <c r="B426" s="5"/>
      <c r="C426" s="5"/>
      <c r="D426" s="1"/>
      <c r="E426" s="5"/>
      <c r="G426" s="6"/>
      <c r="H426" s="1"/>
    </row>
    <row r="427" spans="2:8" x14ac:dyDescent="0.35">
      <c r="B427" s="5"/>
      <c r="C427" s="5"/>
      <c r="D427" s="1"/>
      <c r="E427" s="5"/>
      <c r="G427" s="6"/>
      <c r="H427" s="1"/>
    </row>
    <row r="428" spans="2:8" x14ac:dyDescent="0.35">
      <c r="B428" s="5"/>
      <c r="C428" s="5"/>
      <c r="D428" s="1"/>
      <c r="E428" s="5"/>
      <c r="G428" s="6"/>
      <c r="H428" s="1"/>
    </row>
    <row r="429" spans="2:8" x14ac:dyDescent="0.35">
      <c r="B429" s="5"/>
      <c r="C429" s="5"/>
      <c r="D429" s="1"/>
      <c r="E429" s="5"/>
      <c r="G429" s="6"/>
      <c r="H429" s="1"/>
    </row>
    <row r="430" spans="2:8" x14ac:dyDescent="0.35">
      <c r="B430" s="5"/>
      <c r="C430" s="5"/>
      <c r="D430" s="1"/>
      <c r="E430" s="5"/>
      <c r="G430" s="6"/>
      <c r="H430" s="1"/>
    </row>
    <row r="431" spans="2:8" x14ac:dyDescent="0.35">
      <c r="B431" s="5"/>
      <c r="C431" s="5"/>
      <c r="D431" s="1"/>
      <c r="E431" s="5"/>
      <c r="G431" s="6"/>
      <c r="H431" s="1"/>
    </row>
    <row r="432" spans="2:8" x14ac:dyDescent="0.35">
      <c r="B432" s="5"/>
      <c r="C432" s="5"/>
      <c r="D432" s="1"/>
      <c r="E432" s="5"/>
      <c r="G432" s="6"/>
      <c r="H432" s="1"/>
    </row>
    <row r="433" spans="2:8" x14ac:dyDescent="0.35">
      <c r="B433" s="5"/>
      <c r="C433" s="5"/>
      <c r="D433" s="1"/>
      <c r="E433" s="5"/>
      <c r="G433" s="6"/>
      <c r="H433" s="1"/>
    </row>
    <row r="434" spans="2:8" x14ac:dyDescent="0.35">
      <c r="B434" s="5"/>
      <c r="C434" s="5"/>
      <c r="D434" s="1"/>
      <c r="E434" s="5"/>
      <c r="G434" s="6"/>
      <c r="H434" s="1"/>
    </row>
    <row r="435" spans="2:8" x14ac:dyDescent="0.35">
      <c r="B435" s="5"/>
      <c r="C435" s="5"/>
      <c r="D435" s="1"/>
      <c r="E435" s="5"/>
      <c r="G435" s="6"/>
      <c r="H435" s="1"/>
    </row>
    <row r="436" spans="2:8" x14ac:dyDescent="0.35">
      <c r="B436" s="5"/>
      <c r="C436" s="5"/>
      <c r="D436" s="1"/>
      <c r="E436" s="5"/>
      <c r="G436" s="6"/>
      <c r="H436" s="1"/>
    </row>
    <row r="437" spans="2:8" x14ac:dyDescent="0.35">
      <c r="B437" s="5"/>
      <c r="C437" s="5"/>
      <c r="D437" s="1"/>
      <c r="E437" s="5"/>
      <c r="G437" s="6"/>
      <c r="H437" s="1"/>
    </row>
    <row r="438" spans="2:8" x14ac:dyDescent="0.35">
      <c r="B438" s="5"/>
      <c r="C438" s="5"/>
      <c r="D438" s="1"/>
      <c r="E438" s="5"/>
      <c r="G438" s="6"/>
      <c r="H438" s="1"/>
    </row>
    <row r="439" spans="2:8" x14ac:dyDescent="0.35">
      <c r="B439" s="5"/>
      <c r="C439" s="5"/>
      <c r="D439" s="1"/>
      <c r="E439" s="5"/>
      <c r="G439" s="6"/>
      <c r="H439" s="1"/>
    </row>
    <row r="440" spans="2:8" x14ac:dyDescent="0.35">
      <c r="B440" s="5"/>
      <c r="C440" s="5"/>
      <c r="D440" s="1"/>
      <c r="E440" s="5"/>
      <c r="G440" s="6"/>
      <c r="H440" s="1"/>
    </row>
    <row r="441" spans="2:8" x14ac:dyDescent="0.35">
      <c r="B441" s="5"/>
      <c r="C441" s="5"/>
      <c r="D441" s="1"/>
      <c r="E441" s="5"/>
      <c r="G441" s="6"/>
      <c r="H441" s="1"/>
    </row>
    <row r="442" spans="2:8" x14ac:dyDescent="0.35">
      <c r="B442" s="5"/>
      <c r="C442" s="5"/>
      <c r="D442" s="1"/>
      <c r="E442" s="5"/>
      <c r="G442" s="6"/>
      <c r="H442" s="1"/>
    </row>
    <row r="443" spans="2:8" x14ac:dyDescent="0.35">
      <c r="B443" s="5"/>
      <c r="C443" s="5"/>
      <c r="D443" s="1"/>
      <c r="E443" s="5"/>
      <c r="G443" s="6"/>
      <c r="H443" s="1"/>
    </row>
    <row r="444" spans="2:8" x14ac:dyDescent="0.35">
      <c r="B444" s="5"/>
      <c r="C444" s="5"/>
      <c r="D444" s="1"/>
      <c r="E444" s="5"/>
      <c r="G444" s="6"/>
      <c r="H444" s="1"/>
    </row>
    <row r="445" spans="2:8" x14ac:dyDescent="0.35">
      <c r="B445" s="5"/>
      <c r="C445" s="5"/>
      <c r="D445" s="1"/>
      <c r="E445" s="5"/>
      <c r="G445" s="6"/>
      <c r="H445" s="1"/>
    </row>
    <row r="446" spans="2:8" x14ac:dyDescent="0.35">
      <c r="B446" s="5"/>
      <c r="C446" s="5"/>
      <c r="D446" s="1"/>
      <c r="E446" s="5"/>
      <c r="G446" s="6"/>
      <c r="H446" s="1"/>
    </row>
    <row r="447" spans="2:8" x14ac:dyDescent="0.35">
      <c r="B447" s="5"/>
      <c r="C447" s="5"/>
      <c r="D447" s="1"/>
      <c r="E447" s="5"/>
      <c r="G447" s="6"/>
      <c r="H447" s="1"/>
    </row>
    <row r="448" spans="2:8" x14ac:dyDescent="0.35">
      <c r="B448" s="5"/>
      <c r="C448" s="5"/>
      <c r="D448" s="1"/>
      <c r="E448" s="5"/>
      <c r="G448" s="6"/>
      <c r="H448" s="1"/>
    </row>
    <row r="449" spans="2:8" x14ac:dyDescent="0.35">
      <c r="B449" s="5"/>
      <c r="C449" s="5"/>
      <c r="D449" s="1"/>
      <c r="E449" s="5"/>
      <c r="G449" s="6"/>
      <c r="H449" s="1"/>
    </row>
    <row r="450" spans="2:8" x14ac:dyDescent="0.35">
      <c r="B450" s="5"/>
      <c r="C450" s="5"/>
      <c r="D450" s="1"/>
      <c r="E450" s="5"/>
      <c r="G450" s="6"/>
      <c r="H450" s="1"/>
    </row>
    <row r="451" spans="2:8" x14ac:dyDescent="0.35">
      <c r="B451" s="5"/>
      <c r="C451" s="5"/>
      <c r="D451" s="1"/>
      <c r="E451" s="5"/>
      <c r="G451" s="6"/>
      <c r="H451" s="1"/>
    </row>
    <row r="452" spans="2:8" x14ac:dyDescent="0.35">
      <c r="B452" s="5"/>
      <c r="C452" s="5"/>
      <c r="D452" s="1"/>
      <c r="E452" s="5"/>
      <c r="G452" s="6"/>
      <c r="H452" s="1"/>
    </row>
    <row r="453" spans="2:8" x14ac:dyDescent="0.35">
      <c r="B453" s="5"/>
      <c r="C453" s="5"/>
      <c r="D453" s="1"/>
      <c r="E453" s="5"/>
      <c r="G453" s="6"/>
      <c r="H453" s="1"/>
    </row>
    <row r="454" spans="2:8" x14ac:dyDescent="0.35">
      <c r="B454" s="5"/>
      <c r="C454" s="5"/>
      <c r="D454" s="1"/>
      <c r="E454" s="5"/>
      <c r="G454" s="6"/>
      <c r="H454" s="1"/>
    </row>
    <row r="455" spans="2:8" x14ac:dyDescent="0.35">
      <c r="B455" s="5"/>
      <c r="C455" s="5"/>
      <c r="D455" s="1"/>
      <c r="E455" s="5"/>
      <c r="G455" s="6"/>
      <c r="H455" s="1"/>
    </row>
    <row r="456" spans="2:8" x14ac:dyDescent="0.35">
      <c r="B456" s="5"/>
      <c r="C456" s="5"/>
      <c r="D456" s="1"/>
      <c r="E456" s="5"/>
      <c r="G456" s="6"/>
      <c r="H456" s="1"/>
    </row>
    <row r="457" spans="2:8" x14ac:dyDescent="0.35">
      <c r="B457" s="5"/>
      <c r="C457" s="5"/>
      <c r="D457" s="1"/>
      <c r="E457" s="5"/>
      <c r="G457" s="6"/>
      <c r="H457" s="1"/>
    </row>
    <row r="458" spans="2:8" x14ac:dyDescent="0.35">
      <c r="B458" s="5"/>
      <c r="C458" s="5"/>
      <c r="D458" s="1"/>
      <c r="E458" s="5"/>
      <c r="G458" s="6"/>
      <c r="H458" s="1"/>
    </row>
    <row r="459" spans="2:8" x14ac:dyDescent="0.35">
      <c r="B459" s="5"/>
      <c r="C459" s="5"/>
      <c r="D459" s="1"/>
      <c r="E459" s="5"/>
      <c r="G459" s="6"/>
      <c r="H459" s="1"/>
    </row>
    <row r="460" spans="2:8" x14ac:dyDescent="0.35">
      <c r="B460" s="5"/>
      <c r="C460" s="5"/>
      <c r="D460" s="1"/>
      <c r="E460" s="5"/>
      <c r="G460" s="6"/>
      <c r="H460" s="1"/>
    </row>
    <row r="461" spans="2:8" x14ac:dyDescent="0.35">
      <c r="B461" s="5"/>
      <c r="C461" s="5"/>
      <c r="D461" s="1"/>
      <c r="E461" s="5"/>
      <c r="G461" s="6"/>
      <c r="H461" s="1"/>
    </row>
    <row r="462" spans="2:8" x14ac:dyDescent="0.35">
      <c r="B462" s="5"/>
      <c r="C462" s="5"/>
      <c r="D462" s="1"/>
      <c r="E462" s="5"/>
      <c r="G462" s="6"/>
      <c r="H462" s="1"/>
    </row>
    <row r="463" spans="2:8" x14ac:dyDescent="0.35">
      <c r="B463" s="5"/>
      <c r="C463" s="5"/>
      <c r="D463" s="1"/>
      <c r="E463" s="5"/>
      <c r="G463" s="6"/>
      <c r="H463" s="1"/>
    </row>
    <row r="464" spans="2:8" x14ac:dyDescent="0.35">
      <c r="B464" s="5"/>
      <c r="C464" s="5"/>
      <c r="D464" s="1"/>
      <c r="E464" s="5"/>
      <c r="G464" s="6"/>
      <c r="H464" s="1"/>
    </row>
    <row r="465" spans="2:8" x14ac:dyDescent="0.35">
      <c r="B465" s="5"/>
      <c r="C465" s="5"/>
      <c r="D465" s="1"/>
      <c r="E465" s="5"/>
      <c r="G465" s="6"/>
      <c r="H465" s="1"/>
    </row>
    <row r="466" spans="2:8" x14ac:dyDescent="0.35">
      <c r="B466" s="5"/>
      <c r="C466" s="5"/>
      <c r="D466" s="1"/>
      <c r="E466" s="5"/>
      <c r="G466" s="6"/>
      <c r="H466" s="1"/>
    </row>
    <row r="467" spans="2:8" x14ac:dyDescent="0.35">
      <c r="B467" s="5"/>
      <c r="C467" s="5"/>
      <c r="D467" s="1"/>
      <c r="E467" s="5"/>
      <c r="G467" s="6"/>
      <c r="H467" s="1"/>
    </row>
    <row r="468" spans="2:8" x14ac:dyDescent="0.35">
      <c r="B468" s="5"/>
      <c r="C468" s="5"/>
      <c r="D468" s="1"/>
      <c r="E468" s="5"/>
      <c r="G468" s="6"/>
      <c r="H468" s="1"/>
    </row>
    <row r="469" spans="2:8" x14ac:dyDescent="0.35">
      <c r="B469" s="5"/>
      <c r="C469" s="5"/>
      <c r="D469" s="1"/>
      <c r="E469" s="5"/>
      <c r="G469" s="6"/>
      <c r="H469" s="1"/>
    </row>
    <row r="470" spans="2:8" x14ac:dyDescent="0.35">
      <c r="B470" s="5"/>
      <c r="C470" s="5"/>
      <c r="D470" s="1"/>
      <c r="E470" s="5"/>
      <c r="G470" s="6"/>
      <c r="H470" s="1"/>
    </row>
    <row r="471" spans="2:8" x14ac:dyDescent="0.35">
      <c r="B471" s="5"/>
      <c r="C471" s="5"/>
      <c r="D471" s="1"/>
      <c r="E471" s="5"/>
      <c r="G471" s="6"/>
      <c r="H471" s="1"/>
    </row>
    <row r="472" spans="2:8" x14ac:dyDescent="0.35">
      <c r="B472" s="5"/>
      <c r="C472" s="5"/>
      <c r="D472" s="1"/>
      <c r="E472" s="5"/>
      <c r="G472" s="6"/>
      <c r="H472" s="1"/>
    </row>
    <row r="473" spans="2:8" x14ac:dyDescent="0.35">
      <c r="B473" s="5"/>
      <c r="C473" s="5"/>
      <c r="D473" s="1"/>
      <c r="E473" s="5"/>
      <c r="G473" s="6"/>
      <c r="H473" s="1"/>
    </row>
    <row r="474" spans="2:8" x14ac:dyDescent="0.35">
      <c r="B474" s="5"/>
      <c r="C474" s="5"/>
      <c r="D474" s="1"/>
      <c r="E474" s="5"/>
      <c r="G474" s="6"/>
      <c r="H474" s="1"/>
    </row>
    <row r="475" spans="2:8" x14ac:dyDescent="0.35">
      <c r="B475" s="5"/>
      <c r="C475" s="5"/>
      <c r="D475" s="1"/>
      <c r="E475" s="5"/>
      <c r="G475" s="6"/>
      <c r="H475" s="1"/>
    </row>
    <row r="476" spans="2:8" x14ac:dyDescent="0.35">
      <c r="B476" s="5"/>
      <c r="C476" s="5"/>
      <c r="D476" s="1"/>
      <c r="E476" s="5"/>
      <c r="G476" s="6"/>
      <c r="H476" s="1"/>
    </row>
    <row r="477" spans="2:8" x14ac:dyDescent="0.35">
      <c r="B477" s="5"/>
      <c r="C477" s="5"/>
      <c r="D477" s="1"/>
      <c r="E477" s="5"/>
      <c r="G477" s="6"/>
      <c r="H477" s="1"/>
    </row>
    <row r="478" spans="2:8" x14ac:dyDescent="0.35">
      <c r="B478" s="5"/>
      <c r="C478" s="5"/>
      <c r="D478" s="1"/>
      <c r="E478" s="5"/>
      <c r="G478" s="6"/>
      <c r="H478" s="1"/>
    </row>
    <row r="479" spans="2:8" x14ac:dyDescent="0.35">
      <c r="B479" s="5"/>
      <c r="C479" s="5"/>
      <c r="D479" s="1"/>
      <c r="E479" s="5"/>
      <c r="G479" s="6"/>
      <c r="H479" s="1"/>
    </row>
    <row r="480" spans="2:8" x14ac:dyDescent="0.35">
      <c r="B480" s="5"/>
      <c r="C480" s="5"/>
      <c r="D480" s="1"/>
      <c r="E480" s="5"/>
      <c r="G480" s="6"/>
      <c r="H480" s="1"/>
    </row>
    <row r="481" spans="2:8" x14ac:dyDescent="0.35">
      <c r="B481" s="5"/>
      <c r="C481" s="5"/>
      <c r="D481" s="1"/>
      <c r="E481" s="5"/>
      <c r="G481" s="6"/>
      <c r="H481" s="1"/>
    </row>
    <row r="482" spans="2:8" x14ac:dyDescent="0.35">
      <c r="B482" s="5"/>
      <c r="C482" s="5"/>
      <c r="D482" s="1"/>
      <c r="E482" s="5"/>
      <c r="G482" s="6"/>
      <c r="H482" s="1"/>
    </row>
    <row r="483" spans="2:8" x14ac:dyDescent="0.35">
      <c r="B483" s="5"/>
      <c r="C483" s="5"/>
      <c r="D483" s="1"/>
      <c r="E483" s="5"/>
      <c r="G483" s="6"/>
      <c r="H483" s="1"/>
    </row>
    <row r="484" spans="2:8" x14ac:dyDescent="0.35">
      <c r="B484" s="5"/>
      <c r="C484" s="5"/>
      <c r="D484" s="1"/>
      <c r="E484" s="5"/>
      <c r="G484" s="6"/>
      <c r="H484" s="1"/>
    </row>
    <row r="485" spans="2:8" x14ac:dyDescent="0.35">
      <c r="B485" s="5"/>
      <c r="C485" s="5"/>
      <c r="D485" s="1"/>
      <c r="E485" s="5"/>
      <c r="G485" s="6"/>
      <c r="H485" s="1"/>
    </row>
    <row r="486" spans="2:8" x14ac:dyDescent="0.35">
      <c r="B486" s="5"/>
      <c r="C486" s="5"/>
      <c r="D486" s="1"/>
      <c r="E486" s="5"/>
      <c r="G486" s="6"/>
      <c r="H486" s="1"/>
    </row>
    <row r="487" spans="2:8" x14ac:dyDescent="0.35">
      <c r="B487" s="5"/>
      <c r="C487" s="5"/>
      <c r="D487" s="1"/>
      <c r="E487" s="5"/>
      <c r="G487" s="6"/>
      <c r="H487" s="1"/>
    </row>
    <row r="488" spans="2:8" x14ac:dyDescent="0.35">
      <c r="B488" s="5"/>
      <c r="C488" s="5"/>
      <c r="D488" s="1"/>
      <c r="E488" s="5"/>
      <c r="G488" s="6"/>
      <c r="H488" s="1"/>
    </row>
    <row r="489" spans="2:8" x14ac:dyDescent="0.35">
      <c r="B489" s="5"/>
      <c r="C489" s="5"/>
      <c r="D489" s="1"/>
      <c r="E489" s="5"/>
      <c r="G489" s="6"/>
      <c r="H489" s="1"/>
    </row>
    <row r="490" spans="2:8" x14ac:dyDescent="0.35">
      <c r="B490" s="5"/>
      <c r="C490" s="5"/>
      <c r="D490" s="1"/>
      <c r="E490" s="5"/>
      <c r="G490" s="6"/>
      <c r="H490" s="1"/>
    </row>
    <row r="491" spans="2:8" x14ac:dyDescent="0.35">
      <c r="B491" s="5"/>
      <c r="C491" s="5"/>
      <c r="D491" s="1"/>
      <c r="E491" s="5"/>
      <c r="G491" s="6"/>
      <c r="H491" s="1"/>
    </row>
    <row r="492" spans="2:8" x14ac:dyDescent="0.35">
      <c r="B492" s="5"/>
      <c r="C492" s="5"/>
      <c r="D492" s="1"/>
      <c r="E492" s="5"/>
      <c r="G492" s="6"/>
      <c r="H492" s="1"/>
    </row>
    <row r="493" spans="2:8" x14ac:dyDescent="0.35">
      <c r="B493" s="5"/>
      <c r="C493" s="5"/>
      <c r="D493" s="1"/>
      <c r="E493" s="5"/>
      <c r="G493" s="6"/>
      <c r="H493" s="1"/>
    </row>
    <row r="494" spans="2:8" x14ac:dyDescent="0.35">
      <c r="B494" s="5"/>
      <c r="C494" s="5"/>
      <c r="D494" s="1"/>
      <c r="E494" s="5"/>
      <c r="G494" s="6"/>
      <c r="H494" s="1"/>
    </row>
    <row r="495" spans="2:8" x14ac:dyDescent="0.35">
      <c r="B495" s="5"/>
      <c r="C495" s="5"/>
      <c r="D495" s="1"/>
      <c r="E495" s="5"/>
      <c r="G495" s="6"/>
      <c r="H495" s="1"/>
    </row>
    <row r="496" spans="2:8" x14ac:dyDescent="0.35">
      <c r="B496" s="5"/>
      <c r="C496" s="5"/>
      <c r="D496" s="1"/>
      <c r="E496" s="5"/>
      <c r="G496" s="6"/>
      <c r="H496" s="1"/>
    </row>
    <row r="497" spans="2:8" x14ac:dyDescent="0.35">
      <c r="B497" s="5"/>
      <c r="C497" s="5"/>
      <c r="D497" s="1"/>
      <c r="E497" s="5"/>
      <c r="G497" s="6"/>
      <c r="H497" s="1"/>
    </row>
    <row r="498" spans="2:8" x14ac:dyDescent="0.35">
      <c r="B498" s="5"/>
      <c r="C498" s="5"/>
      <c r="D498" s="1"/>
      <c r="E498" s="5"/>
      <c r="G498" s="6"/>
      <c r="H498" s="1"/>
    </row>
    <row r="499" spans="2:8" x14ac:dyDescent="0.35">
      <c r="B499" s="5"/>
      <c r="C499" s="5"/>
      <c r="D499" s="1"/>
      <c r="E499" s="5"/>
      <c r="G499" s="6"/>
      <c r="H499" s="1"/>
    </row>
    <row r="500" spans="2:8" x14ac:dyDescent="0.35">
      <c r="B500" s="5"/>
      <c r="C500" s="5"/>
      <c r="D500" s="1"/>
      <c r="E500" s="5"/>
      <c r="G500" s="6"/>
      <c r="H500" s="1"/>
    </row>
    <row r="501" spans="2:8" x14ac:dyDescent="0.35">
      <c r="B501" s="5"/>
      <c r="C501" s="5"/>
      <c r="D501" s="1"/>
      <c r="E501" s="5"/>
      <c r="G501" s="6"/>
      <c r="H501" s="1"/>
    </row>
    <row r="502" spans="2:8" x14ac:dyDescent="0.35">
      <c r="B502" s="5"/>
      <c r="C502" s="5"/>
      <c r="D502" s="1"/>
      <c r="E502" s="5"/>
      <c r="G502" s="6"/>
      <c r="H502" s="1"/>
    </row>
    <row r="503" spans="2:8" x14ac:dyDescent="0.35">
      <c r="B503" s="5"/>
      <c r="C503" s="5"/>
      <c r="D503" s="1"/>
      <c r="E503" s="5"/>
      <c r="G503" s="6"/>
      <c r="H503" s="1"/>
    </row>
    <row r="504" spans="2:8" x14ac:dyDescent="0.35">
      <c r="B504" s="5"/>
      <c r="C504" s="5"/>
      <c r="D504" s="1"/>
      <c r="E504" s="5"/>
      <c r="G504" s="6"/>
      <c r="H504" s="1"/>
    </row>
    <row r="505" spans="2:8" x14ac:dyDescent="0.35">
      <c r="B505" s="5"/>
      <c r="C505" s="5"/>
      <c r="D505" s="1"/>
      <c r="E505" s="5"/>
      <c r="G505" s="6"/>
      <c r="H505" s="1"/>
    </row>
    <row r="506" spans="2:8" x14ac:dyDescent="0.35">
      <c r="B506" s="5"/>
      <c r="C506" s="5"/>
      <c r="D506" s="1"/>
      <c r="E506" s="5"/>
      <c r="G506" s="6"/>
      <c r="H506" s="1"/>
    </row>
    <row r="507" spans="2:8" x14ac:dyDescent="0.35">
      <c r="B507" s="5"/>
      <c r="C507" s="5"/>
      <c r="D507" s="1"/>
      <c r="E507" s="5"/>
      <c r="G507" s="6"/>
      <c r="H507" s="1"/>
    </row>
    <row r="508" spans="2:8" x14ac:dyDescent="0.35">
      <c r="B508" s="5"/>
      <c r="C508" s="5"/>
      <c r="D508" s="1"/>
      <c r="E508" s="5"/>
      <c r="G508" s="6"/>
      <c r="H508" s="1"/>
    </row>
    <row r="509" spans="2:8" x14ac:dyDescent="0.35">
      <c r="B509" s="5"/>
      <c r="C509" s="5"/>
      <c r="D509" s="1"/>
      <c r="E509" s="5"/>
      <c r="G509" s="6"/>
      <c r="H509" s="1"/>
    </row>
    <row r="510" spans="2:8" x14ac:dyDescent="0.35">
      <c r="B510" s="5"/>
      <c r="C510" s="5"/>
      <c r="D510" s="1"/>
      <c r="E510" s="5"/>
      <c r="G510" s="6"/>
      <c r="H510" s="1"/>
    </row>
    <row r="511" spans="2:8" x14ac:dyDescent="0.35">
      <c r="B511" s="5"/>
      <c r="C511" s="5"/>
      <c r="D511" s="1"/>
      <c r="E511" s="5"/>
      <c r="G511" s="6"/>
      <c r="H511" s="1"/>
    </row>
    <row r="512" spans="2:8" x14ac:dyDescent="0.35">
      <c r="B512" s="5"/>
      <c r="C512" s="5"/>
      <c r="D512" s="1"/>
      <c r="E512" s="5"/>
      <c r="G512" s="6"/>
      <c r="H512" s="1"/>
    </row>
    <row r="513" spans="2:8" x14ac:dyDescent="0.35">
      <c r="B513" s="5"/>
      <c r="C513" s="5"/>
      <c r="D513" s="1"/>
      <c r="E513" s="5"/>
      <c r="G513" s="6"/>
      <c r="H513" s="1"/>
    </row>
    <row r="514" spans="2:8" x14ac:dyDescent="0.35">
      <c r="B514" s="5"/>
      <c r="C514" s="5"/>
      <c r="D514" s="1"/>
      <c r="E514" s="5"/>
      <c r="G514" s="6"/>
      <c r="H514" s="1"/>
    </row>
    <row r="515" spans="2:8" x14ac:dyDescent="0.35">
      <c r="B515" s="5"/>
      <c r="C515" s="5"/>
      <c r="D515" s="1"/>
      <c r="E515" s="5"/>
      <c r="G515" s="6"/>
      <c r="H515" s="1"/>
    </row>
    <row r="516" spans="2:8" x14ac:dyDescent="0.35">
      <c r="B516" s="5"/>
      <c r="C516" s="5"/>
      <c r="D516" s="1"/>
      <c r="E516" s="5"/>
      <c r="G516" s="6"/>
      <c r="H516" s="1"/>
    </row>
    <row r="517" spans="2:8" x14ac:dyDescent="0.35">
      <c r="B517" s="5"/>
      <c r="C517" s="5"/>
      <c r="D517" s="1"/>
      <c r="E517" s="5"/>
      <c r="G517" s="6"/>
      <c r="H517" s="1"/>
    </row>
    <row r="518" spans="2:8" x14ac:dyDescent="0.35">
      <c r="B518" s="5"/>
      <c r="C518" s="5"/>
      <c r="D518" s="1"/>
      <c r="E518" s="5"/>
      <c r="G518" s="6"/>
      <c r="H518" s="1"/>
    </row>
    <row r="519" spans="2:8" x14ac:dyDescent="0.35">
      <c r="B519" s="5"/>
      <c r="C519" s="5"/>
      <c r="D519" s="1"/>
      <c r="E519" s="5"/>
      <c r="G519" s="6"/>
      <c r="H519" s="1"/>
    </row>
    <row r="520" spans="2:8" x14ac:dyDescent="0.35">
      <c r="B520" s="5"/>
      <c r="C520" s="5"/>
      <c r="D520" s="1"/>
      <c r="E520" s="5"/>
      <c r="G520" s="6"/>
      <c r="H520" s="1"/>
    </row>
    <row r="521" spans="2:8" x14ac:dyDescent="0.35">
      <c r="B521" s="5"/>
      <c r="C521" s="5"/>
      <c r="D521" s="1"/>
      <c r="E521" s="5"/>
      <c r="G521" s="6"/>
      <c r="H521" s="1"/>
    </row>
    <row r="522" spans="2:8" x14ac:dyDescent="0.35">
      <c r="B522" s="5"/>
      <c r="C522" s="5"/>
      <c r="D522" s="1"/>
      <c r="E522" s="5"/>
      <c r="G522" s="6"/>
      <c r="H522" s="1"/>
    </row>
    <row r="523" spans="2:8" x14ac:dyDescent="0.35">
      <c r="B523" s="5"/>
      <c r="C523" s="5"/>
      <c r="D523" s="1"/>
      <c r="E523" s="5"/>
      <c r="G523" s="6"/>
      <c r="H523" s="1"/>
    </row>
    <row r="524" spans="2:8" x14ac:dyDescent="0.35">
      <c r="B524" s="5"/>
      <c r="C524" s="5"/>
      <c r="D524" s="1"/>
      <c r="E524" s="5"/>
      <c r="G524" s="6"/>
      <c r="H524" s="1"/>
    </row>
    <row r="525" spans="2:8" x14ac:dyDescent="0.35">
      <c r="B525" s="5"/>
      <c r="C525" s="5"/>
      <c r="D525" s="1"/>
      <c r="E525" s="5"/>
      <c r="G525" s="6"/>
      <c r="H525" s="1"/>
    </row>
    <row r="526" spans="2:8" x14ac:dyDescent="0.35">
      <c r="B526" s="5"/>
      <c r="C526" s="5"/>
      <c r="D526" s="1"/>
      <c r="E526" s="5"/>
      <c r="G526" s="6"/>
      <c r="H526" s="1"/>
    </row>
    <row r="527" spans="2:8" x14ac:dyDescent="0.35">
      <c r="B527" s="5"/>
      <c r="C527" s="5"/>
      <c r="D527" s="1"/>
      <c r="E527" s="5"/>
      <c r="G527" s="6"/>
      <c r="H527" s="1"/>
    </row>
    <row r="528" spans="2:8" x14ac:dyDescent="0.35">
      <c r="B528" s="5"/>
      <c r="C528" s="5"/>
      <c r="D528" s="1"/>
      <c r="E528" s="5"/>
      <c r="G528" s="6"/>
      <c r="H528" s="1"/>
    </row>
    <row r="529" spans="2:8" x14ac:dyDescent="0.35">
      <c r="B529" s="5"/>
      <c r="C529" s="5"/>
      <c r="D529" s="1"/>
      <c r="E529" s="5"/>
      <c r="G529" s="6"/>
      <c r="H529" s="1"/>
    </row>
    <row r="530" spans="2:8" x14ac:dyDescent="0.35">
      <c r="B530" s="5"/>
      <c r="C530" s="5"/>
      <c r="D530" s="1"/>
      <c r="E530" s="5"/>
      <c r="G530" s="6"/>
      <c r="H530" s="1"/>
    </row>
    <row r="531" spans="2:8" x14ac:dyDescent="0.35">
      <c r="B531" s="5"/>
      <c r="C531" s="5"/>
      <c r="D531" s="1"/>
      <c r="E531" s="5"/>
      <c r="G531" s="6"/>
      <c r="H531" s="1"/>
    </row>
    <row r="532" spans="2:8" x14ac:dyDescent="0.35">
      <c r="B532" s="5"/>
      <c r="C532" s="5"/>
      <c r="D532" s="1"/>
      <c r="E532" s="5"/>
      <c r="G532" s="6"/>
      <c r="H532" s="1"/>
    </row>
    <row r="533" spans="2:8" x14ac:dyDescent="0.35">
      <c r="B533" s="5"/>
      <c r="C533" s="5"/>
      <c r="D533" s="1"/>
      <c r="E533" s="5"/>
      <c r="G533" s="6"/>
      <c r="H533" s="1"/>
    </row>
    <row r="534" spans="2:8" x14ac:dyDescent="0.35">
      <c r="B534" s="5"/>
      <c r="C534" s="5"/>
      <c r="D534" s="1"/>
      <c r="E534" s="5"/>
      <c r="G534" s="6"/>
      <c r="H534" s="1"/>
    </row>
    <row r="535" spans="2:8" x14ac:dyDescent="0.35">
      <c r="B535" s="5"/>
      <c r="C535" s="5"/>
      <c r="D535" s="1"/>
      <c r="E535" s="5"/>
      <c r="G535" s="6"/>
      <c r="H535" s="1"/>
    </row>
    <row r="536" spans="2:8" x14ac:dyDescent="0.35">
      <c r="B536" s="5"/>
      <c r="C536" s="5"/>
      <c r="D536" s="1"/>
      <c r="E536" s="5"/>
      <c r="G536" s="6"/>
      <c r="H536" s="1"/>
    </row>
    <row r="537" spans="2:8" x14ac:dyDescent="0.35">
      <c r="B537" s="5"/>
      <c r="C537" s="5"/>
      <c r="D537" s="1"/>
      <c r="E537" s="5"/>
      <c r="G537" s="6"/>
      <c r="H537" s="1"/>
    </row>
    <row r="538" spans="2:8" x14ac:dyDescent="0.35">
      <c r="B538" s="5"/>
      <c r="C538" s="5"/>
      <c r="D538" s="1"/>
      <c r="E538" s="5"/>
      <c r="G538" s="6"/>
      <c r="H538" s="1"/>
    </row>
    <row r="539" spans="2:8" x14ac:dyDescent="0.35">
      <c r="B539" s="5"/>
      <c r="C539" s="5"/>
      <c r="D539" s="1"/>
      <c r="E539" s="5"/>
      <c r="G539" s="6"/>
      <c r="H539" s="1"/>
    </row>
    <row r="540" spans="2:8" x14ac:dyDescent="0.35">
      <c r="B540" s="5"/>
      <c r="C540" s="5"/>
      <c r="D540" s="1"/>
      <c r="E540" s="5"/>
      <c r="G540" s="6"/>
      <c r="H540" s="1"/>
    </row>
    <row r="541" spans="2:8" x14ac:dyDescent="0.35">
      <c r="B541" s="5"/>
      <c r="C541" s="5"/>
      <c r="D541" s="1"/>
      <c r="E541" s="5"/>
      <c r="G541" s="6"/>
      <c r="H541" s="1"/>
    </row>
    <row r="542" spans="2:8" x14ac:dyDescent="0.35">
      <c r="B542" s="5"/>
      <c r="C542" s="5"/>
      <c r="D542" s="1"/>
      <c r="E542" s="5"/>
      <c r="G542" s="6"/>
      <c r="H542" s="1"/>
    </row>
    <row r="543" spans="2:8" x14ac:dyDescent="0.35">
      <c r="B543" s="5"/>
      <c r="C543" s="5"/>
      <c r="D543" s="1"/>
      <c r="E543" s="5"/>
      <c r="G543" s="6"/>
      <c r="H543" s="1"/>
    </row>
    <row r="544" spans="2:8" x14ac:dyDescent="0.35">
      <c r="B544" s="5"/>
      <c r="C544" s="5"/>
      <c r="D544" s="1"/>
      <c r="E544" s="5"/>
      <c r="G544" s="6"/>
      <c r="H544" s="1"/>
    </row>
    <row r="545" spans="2:8" x14ac:dyDescent="0.35">
      <c r="B545" s="5"/>
      <c r="C545" s="5"/>
      <c r="D545" s="1"/>
      <c r="E545" s="5"/>
      <c r="G545" s="6"/>
      <c r="H545" s="1"/>
    </row>
    <row r="546" spans="2:8" x14ac:dyDescent="0.35">
      <c r="B546" s="5"/>
      <c r="C546" s="5"/>
      <c r="D546" s="1"/>
      <c r="E546" s="5"/>
      <c r="G546" s="6"/>
      <c r="H546" s="1"/>
    </row>
    <row r="547" spans="2:8" x14ac:dyDescent="0.35">
      <c r="B547" s="5"/>
      <c r="C547" s="5"/>
      <c r="D547" s="1"/>
      <c r="E547" s="5"/>
      <c r="G547" s="6"/>
      <c r="H547" s="1"/>
    </row>
    <row r="548" spans="2:8" x14ac:dyDescent="0.35">
      <c r="B548" s="5"/>
      <c r="C548" s="5"/>
      <c r="D548" s="1"/>
      <c r="E548" s="5"/>
      <c r="G548" s="6"/>
      <c r="H548" s="1"/>
    </row>
    <row r="549" spans="2:8" x14ac:dyDescent="0.35">
      <c r="B549" s="5"/>
      <c r="C549" s="5"/>
      <c r="D549" s="1"/>
      <c r="E549" s="5"/>
      <c r="G549" s="6"/>
      <c r="H549" s="1"/>
    </row>
    <row r="550" spans="2:8" x14ac:dyDescent="0.35">
      <c r="B550" s="5"/>
      <c r="C550" s="5"/>
      <c r="D550" s="1"/>
      <c r="E550" s="5"/>
      <c r="G550" s="6"/>
      <c r="H550" s="1"/>
    </row>
    <row r="551" spans="2:8" x14ac:dyDescent="0.35">
      <c r="B551" s="5"/>
      <c r="C551" s="5"/>
      <c r="D551" s="1"/>
      <c r="E551" s="5"/>
      <c r="G551" s="6"/>
      <c r="H551" s="1"/>
    </row>
    <row r="552" spans="2:8" x14ac:dyDescent="0.35">
      <c r="B552" s="5"/>
      <c r="C552" s="5"/>
      <c r="D552" s="1"/>
      <c r="E552" s="5"/>
      <c r="G552" s="6"/>
      <c r="H552" s="1"/>
    </row>
    <row r="553" spans="2:8" x14ac:dyDescent="0.35">
      <c r="B553" s="5"/>
      <c r="C553" s="5"/>
      <c r="D553" s="1"/>
      <c r="E553" s="5"/>
      <c r="G553" s="6"/>
      <c r="H553" s="1"/>
    </row>
    <row r="554" spans="2:8" x14ac:dyDescent="0.35">
      <c r="B554" s="5"/>
      <c r="C554" s="5"/>
      <c r="D554" s="1"/>
      <c r="E554" s="5"/>
      <c r="G554" s="6"/>
      <c r="H554" s="1"/>
    </row>
    <row r="555" spans="2:8" x14ac:dyDescent="0.35">
      <c r="B555" s="5"/>
      <c r="C555" s="5"/>
      <c r="D555" s="1"/>
      <c r="E555" s="5"/>
      <c r="G555" s="6"/>
      <c r="H555" s="1"/>
    </row>
    <row r="556" spans="2:8" x14ac:dyDescent="0.35">
      <c r="B556" s="5"/>
      <c r="C556" s="5"/>
      <c r="D556" s="1"/>
      <c r="E556" s="5"/>
      <c r="G556" s="6"/>
      <c r="H556" s="1"/>
    </row>
    <row r="557" spans="2:8" x14ac:dyDescent="0.35">
      <c r="B557" s="5"/>
      <c r="C557" s="5"/>
      <c r="D557" s="1"/>
      <c r="E557" s="5"/>
      <c r="G557" s="6"/>
      <c r="H557" s="1"/>
    </row>
    <row r="558" spans="2:8" x14ac:dyDescent="0.35">
      <c r="B558" s="5"/>
      <c r="C558" s="5"/>
      <c r="D558" s="1"/>
      <c r="E558" s="5"/>
      <c r="G558" s="6"/>
      <c r="H558" s="1"/>
    </row>
    <row r="559" spans="2:8" x14ac:dyDescent="0.35">
      <c r="B559" s="5"/>
      <c r="C559" s="5"/>
      <c r="D559" s="1"/>
      <c r="E559" s="5"/>
      <c r="G559" s="6"/>
      <c r="H559" s="1"/>
    </row>
    <row r="560" spans="2:8" x14ac:dyDescent="0.35">
      <c r="B560" s="5"/>
      <c r="C560" s="5"/>
      <c r="D560" s="1"/>
      <c r="E560" s="5"/>
      <c r="G560" s="6"/>
      <c r="H560" s="1"/>
    </row>
    <row r="561" spans="2:8" x14ac:dyDescent="0.35">
      <c r="B561" s="5"/>
      <c r="C561" s="5"/>
      <c r="D561" s="1"/>
      <c r="E561" s="5"/>
      <c r="G561" s="6"/>
      <c r="H561" s="1"/>
    </row>
    <row r="562" spans="2:8" x14ac:dyDescent="0.35">
      <c r="B562" s="5"/>
      <c r="C562" s="5"/>
      <c r="D562" s="1"/>
      <c r="E562" s="5"/>
      <c r="G562" s="6"/>
      <c r="H562" s="1"/>
    </row>
    <row r="563" spans="2:8" x14ac:dyDescent="0.35">
      <c r="B563" s="5"/>
      <c r="C563" s="5"/>
      <c r="D563" s="1"/>
      <c r="E563" s="5"/>
      <c r="G563" s="6"/>
      <c r="H563" s="1"/>
    </row>
    <row r="564" spans="2:8" x14ac:dyDescent="0.35">
      <c r="B564" s="5"/>
      <c r="C564" s="5"/>
      <c r="D564" s="1"/>
      <c r="E564" s="5"/>
      <c r="G564" s="6"/>
      <c r="H564" s="1"/>
    </row>
    <row r="565" spans="2:8" x14ac:dyDescent="0.35">
      <c r="B565" s="5"/>
      <c r="C565" s="5"/>
      <c r="D565" s="1"/>
      <c r="E565" s="5"/>
      <c r="G565" s="6"/>
      <c r="H565" s="1"/>
    </row>
    <row r="566" spans="2:8" x14ac:dyDescent="0.35">
      <c r="B566" s="5"/>
      <c r="C566" s="5"/>
      <c r="D566" s="1"/>
      <c r="E566" s="5"/>
      <c r="G566" s="6"/>
      <c r="H566" s="1"/>
    </row>
    <row r="567" spans="2:8" x14ac:dyDescent="0.35">
      <c r="B567" s="5"/>
      <c r="C567" s="5"/>
      <c r="D567" s="1"/>
      <c r="E567" s="5"/>
      <c r="G567" s="6"/>
      <c r="H567" s="1"/>
    </row>
    <row r="568" spans="2:8" x14ac:dyDescent="0.35">
      <c r="B568" s="5"/>
      <c r="C568" s="5"/>
      <c r="D568" s="1"/>
      <c r="E568" s="5"/>
      <c r="G568" s="6"/>
      <c r="H568" s="1"/>
    </row>
    <row r="569" spans="2:8" x14ac:dyDescent="0.35">
      <c r="B569" s="5"/>
      <c r="C569" s="5"/>
      <c r="D569" s="1"/>
      <c r="E569" s="5"/>
      <c r="G569" s="6"/>
      <c r="H569" s="1"/>
    </row>
    <row r="570" spans="2:8" x14ac:dyDescent="0.35">
      <c r="B570" s="5"/>
      <c r="C570" s="5"/>
      <c r="D570" s="1"/>
      <c r="E570" s="5"/>
      <c r="G570" s="6"/>
      <c r="H570" s="1"/>
    </row>
    <row r="571" spans="2:8" x14ac:dyDescent="0.35">
      <c r="B571" s="5"/>
      <c r="C571" s="5"/>
      <c r="D571" s="1"/>
      <c r="E571" s="5"/>
      <c r="G571" s="6"/>
      <c r="H571" s="1"/>
    </row>
    <row r="572" spans="2:8" x14ac:dyDescent="0.35">
      <c r="B572" s="5"/>
      <c r="C572" s="5"/>
      <c r="D572" s="1"/>
      <c r="E572" s="5"/>
      <c r="G572" s="6"/>
      <c r="H572" s="1"/>
    </row>
    <row r="573" spans="2:8" x14ac:dyDescent="0.35">
      <c r="B573" s="5"/>
      <c r="C573" s="5"/>
      <c r="D573" s="1"/>
      <c r="E573" s="5"/>
      <c r="G573" s="6"/>
      <c r="H573" s="1"/>
    </row>
    <row r="574" spans="2:8" x14ac:dyDescent="0.35">
      <c r="B574" s="5"/>
      <c r="C574" s="5"/>
      <c r="D574" s="1"/>
      <c r="E574" s="5"/>
      <c r="G574" s="6"/>
      <c r="H574" s="1"/>
    </row>
    <row r="575" spans="2:8" x14ac:dyDescent="0.35">
      <c r="B575" s="5"/>
      <c r="C575" s="5"/>
      <c r="D575" s="1"/>
      <c r="E575" s="5"/>
      <c r="G575" s="6"/>
      <c r="H575" s="1"/>
    </row>
    <row r="576" spans="2:8" x14ac:dyDescent="0.35">
      <c r="B576" s="5"/>
      <c r="C576" s="5"/>
      <c r="D576" s="1"/>
      <c r="E576" s="5"/>
      <c r="G576" s="6"/>
      <c r="H576" s="1"/>
    </row>
    <row r="577" spans="2:8" x14ac:dyDescent="0.35">
      <c r="B577" s="5"/>
      <c r="C577" s="5"/>
      <c r="D577" s="1"/>
      <c r="E577" s="5"/>
      <c r="G577" s="6"/>
      <c r="H577" s="1"/>
    </row>
    <row r="578" spans="2:8" x14ac:dyDescent="0.35">
      <c r="B578" s="5"/>
      <c r="C578" s="5"/>
      <c r="D578" s="1"/>
      <c r="E578" s="5"/>
      <c r="G578" s="6"/>
      <c r="H578" s="1"/>
    </row>
    <row r="579" spans="2:8" x14ac:dyDescent="0.35">
      <c r="B579" s="5"/>
      <c r="C579" s="5"/>
      <c r="D579" s="1"/>
      <c r="E579" s="5"/>
      <c r="G579" s="6"/>
      <c r="H579" s="1"/>
    </row>
    <row r="580" spans="2:8" x14ac:dyDescent="0.35">
      <c r="B580" s="5"/>
      <c r="C580" s="5"/>
      <c r="D580" s="1"/>
      <c r="E580" s="5"/>
      <c r="G580" s="6"/>
      <c r="H580" s="1"/>
    </row>
    <row r="581" spans="2:8" x14ac:dyDescent="0.35">
      <c r="B581" s="5"/>
      <c r="C581" s="5"/>
      <c r="D581" s="1"/>
      <c r="E581" s="5"/>
      <c r="G581" s="6"/>
      <c r="H581" s="1"/>
    </row>
    <row r="582" spans="2:8" x14ac:dyDescent="0.35">
      <c r="B582" s="5"/>
      <c r="C582" s="5"/>
      <c r="D582" s="1"/>
      <c r="E582" s="5"/>
      <c r="G582" s="6"/>
      <c r="H582" s="1"/>
    </row>
    <row r="583" spans="2:8" x14ac:dyDescent="0.35">
      <c r="B583" s="5"/>
      <c r="C583" s="5"/>
      <c r="D583" s="1"/>
      <c r="E583" s="5"/>
      <c r="G583" s="6"/>
      <c r="H583" s="1"/>
    </row>
    <row r="584" spans="2:8" x14ac:dyDescent="0.35">
      <c r="B584" s="5"/>
      <c r="C584" s="5"/>
      <c r="D584" s="1"/>
      <c r="E584" s="5"/>
      <c r="G584" s="6"/>
      <c r="H584" s="1"/>
    </row>
    <row r="585" spans="2:8" x14ac:dyDescent="0.35">
      <c r="B585" s="5"/>
      <c r="C585" s="5"/>
      <c r="D585" s="1"/>
      <c r="E585" s="5"/>
      <c r="G585" s="6"/>
      <c r="H585" s="1"/>
    </row>
    <row r="586" spans="2:8" x14ac:dyDescent="0.35">
      <c r="B586" s="5"/>
      <c r="C586" s="5"/>
      <c r="D586" s="1"/>
      <c r="E586" s="5"/>
      <c r="G586" s="6"/>
      <c r="H586" s="1"/>
    </row>
    <row r="587" spans="2:8" x14ac:dyDescent="0.35">
      <c r="B587" s="5"/>
      <c r="C587" s="5"/>
      <c r="D587" s="1"/>
      <c r="E587" s="5"/>
      <c r="G587" s="6"/>
      <c r="H587" s="1"/>
    </row>
    <row r="588" spans="2:8" x14ac:dyDescent="0.35">
      <c r="B588" s="5"/>
      <c r="C588" s="5"/>
      <c r="D588" s="1"/>
      <c r="E588" s="5"/>
      <c r="G588" s="6"/>
      <c r="H588" s="1"/>
    </row>
    <row r="589" spans="2:8" x14ac:dyDescent="0.35">
      <c r="B589" s="5"/>
      <c r="C589" s="5"/>
      <c r="D589" s="1"/>
      <c r="E589" s="5"/>
      <c r="G589" s="6"/>
      <c r="H589" s="1"/>
    </row>
    <row r="590" spans="2:8" x14ac:dyDescent="0.35">
      <c r="B590" s="5"/>
      <c r="C590" s="5"/>
      <c r="D590" s="1"/>
      <c r="E590" s="5"/>
      <c r="G590" s="6"/>
      <c r="H590" s="1"/>
    </row>
    <row r="591" spans="2:8" x14ac:dyDescent="0.35">
      <c r="B591" s="5"/>
      <c r="C591" s="5"/>
      <c r="D591" s="1"/>
      <c r="E591" s="5"/>
      <c r="G591" s="6"/>
      <c r="H591" s="1"/>
    </row>
    <row r="592" spans="2:8" x14ac:dyDescent="0.35">
      <c r="B592" s="5"/>
      <c r="C592" s="5"/>
      <c r="D592" s="1"/>
      <c r="E592" s="5"/>
      <c r="G592" s="6"/>
      <c r="H592" s="1"/>
    </row>
    <row r="593" spans="2:8" x14ac:dyDescent="0.35">
      <c r="B593" s="5"/>
      <c r="C593" s="5"/>
      <c r="D593" s="1"/>
      <c r="E593" s="5"/>
      <c r="G593" s="6"/>
      <c r="H593" s="1"/>
    </row>
    <row r="594" spans="2:8" x14ac:dyDescent="0.35">
      <c r="B594" s="5"/>
      <c r="C594" s="5"/>
      <c r="D594" s="1"/>
      <c r="E594" s="5"/>
      <c r="G594" s="6"/>
      <c r="H594" s="1"/>
    </row>
  </sheetData>
  <autoFilter ref="A2:WVR2" xr:uid="{1428D849-4A40-4363-9953-3F7BB17A49E4}"/>
  <phoneticPr fontId="5" type="noConversion"/>
  <pageMargins left="0.51181102362204722" right="0.31496062992125984" top="0.35433070866141736" bottom="0.35433070866141736" header="0.31496062992125984" footer="0.31496062992125984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BD11-FEE2-4B36-B2F2-B8F0A70FDC45}">
  <dimension ref="A1:M595"/>
  <sheetViews>
    <sheetView topLeftCell="A51" workbookViewId="0">
      <selection activeCell="D60" sqref="D60"/>
    </sheetView>
  </sheetViews>
  <sheetFormatPr defaultRowHeight="14.5" x14ac:dyDescent="0.35"/>
  <cols>
    <col min="1" max="1" width="3.54296875" style="1" bestFit="1" customWidth="1"/>
    <col min="2" max="2" width="11.26953125" style="16" bestFit="1" customWidth="1"/>
    <col min="3" max="3" width="6.7265625" style="16" customWidth="1"/>
    <col min="4" max="4" width="22.26953125" style="17" customWidth="1"/>
    <col min="5" max="5" width="11.26953125" style="16" customWidth="1"/>
    <col min="6" max="6" width="13" style="1" customWidth="1"/>
    <col min="7" max="7" width="20.81640625" style="18" customWidth="1"/>
    <col min="8" max="8" width="9.1796875" hidden="1" customWidth="1"/>
    <col min="9" max="9" width="6.54296875" style="1" customWidth="1"/>
    <col min="10" max="10" width="15.1796875" style="1" bestFit="1" customWidth="1"/>
    <col min="11" max="11" width="13.453125" style="1" bestFit="1" customWidth="1"/>
    <col min="12" max="256" width="9.1796875" style="1"/>
    <col min="257" max="257" width="3.54296875" style="1" bestFit="1" customWidth="1"/>
    <col min="258" max="258" width="11.26953125" style="1" bestFit="1" customWidth="1"/>
    <col min="259" max="259" width="6.7265625" style="1" customWidth="1"/>
    <col min="260" max="260" width="22.26953125" style="1" customWidth="1"/>
    <col min="261" max="261" width="11.26953125" style="1" customWidth="1"/>
    <col min="262" max="262" width="19.1796875" style="1" customWidth="1"/>
    <col min="263" max="263" width="24" style="1" customWidth="1"/>
    <col min="264" max="264" width="19" style="1" bestFit="1" customWidth="1"/>
    <col min="265" max="265" width="9" style="1" bestFit="1" customWidth="1"/>
    <col min="266" max="266" width="15.1796875" style="1" bestFit="1" customWidth="1"/>
    <col min="267" max="512" width="9.1796875" style="1"/>
    <col min="513" max="513" width="3.54296875" style="1" bestFit="1" customWidth="1"/>
    <col min="514" max="514" width="11.26953125" style="1" bestFit="1" customWidth="1"/>
    <col min="515" max="515" width="6.7265625" style="1" customWidth="1"/>
    <col min="516" max="516" width="22.26953125" style="1" customWidth="1"/>
    <col min="517" max="517" width="11.26953125" style="1" customWidth="1"/>
    <col min="518" max="518" width="19.1796875" style="1" customWidth="1"/>
    <col min="519" max="519" width="24" style="1" customWidth="1"/>
    <col min="520" max="520" width="19" style="1" bestFit="1" customWidth="1"/>
    <col min="521" max="521" width="9" style="1" bestFit="1" customWidth="1"/>
    <col min="522" max="522" width="15.1796875" style="1" bestFit="1" customWidth="1"/>
    <col min="523" max="768" width="9.1796875" style="1"/>
    <col min="769" max="769" width="3.54296875" style="1" bestFit="1" customWidth="1"/>
    <col min="770" max="770" width="11.26953125" style="1" bestFit="1" customWidth="1"/>
    <col min="771" max="771" width="6.7265625" style="1" customWidth="1"/>
    <col min="772" max="772" width="22.26953125" style="1" customWidth="1"/>
    <col min="773" max="773" width="11.26953125" style="1" customWidth="1"/>
    <col min="774" max="774" width="19.1796875" style="1" customWidth="1"/>
    <col min="775" max="775" width="24" style="1" customWidth="1"/>
    <col min="776" max="776" width="19" style="1" bestFit="1" customWidth="1"/>
    <col min="777" max="777" width="9" style="1" bestFit="1" customWidth="1"/>
    <col min="778" max="778" width="15.1796875" style="1" bestFit="1" customWidth="1"/>
    <col min="779" max="1024" width="9.1796875" style="1"/>
    <col min="1025" max="1025" width="3.54296875" style="1" bestFit="1" customWidth="1"/>
    <col min="1026" max="1026" width="11.26953125" style="1" bestFit="1" customWidth="1"/>
    <col min="1027" max="1027" width="6.7265625" style="1" customWidth="1"/>
    <col min="1028" max="1028" width="22.26953125" style="1" customWidth="1"/>
    <col min="1029" max="1029" width="11.26953125" style="1" customWidth="1"/>
    <col min="1030" max="1030" width="19.1796875" style="1" customWidth="1"/>
    <col min="1031" max="1031" width="24" style="1" customWidth="1"/>
    <col min="1032" max="1032" width="19" style="1" bestFit="1" customWidth="1"/>
    <col min="1033" max="1033" width="9" style="1" bestFit="1" customWidth="1"/>
    <col min="1034" max="1034" width="15.1796875" style="1" bestFit="1" customWidth="1"/>
    <col min="1035" max="1280" width="9.1796875" style="1"/>
    <col min="1281" max="1281" width="3.54296875" style="1" bestFit="1" customWidth="1"/>
    <col min="1282" max="1282" width="11.26953125" style="1" bestFit="1" customWidth="1"/>
    <col min="1283" max="1283" width="6.7265625" style="1" customWidth="1"/>
    <col min="1284" max="1284" width="22.26953125" style="1" customWidth="1"/>
    <col min="1285" max="1285" width="11.26953125" style="1" customWidth="1"/>
    <col min="1286" max="1286" width="19.1796875" style="1" customWidth="1"/>
    <col min="1287" max="1287" width="24" style="1" customWidth="1"/>
    <col min="1288" max="1288" width="19" style="1" bestFit="1" customWidth="1"/>
    <col min="1289" max="1289" width="9" style="1" bestFit="1" customWidth="1"/>
    <col min="1290" max="1290" width="15.1796875" style="1" bestFit="1" customWidth="1"/>
    <col min="1291" max="1536" width="9.1796875" style="1"/>
    <col min="1537" max="1537" width="3.54296875" style="1" bestFit="1" customWidth="1"/>
    <col min="1538" max="1538" width="11.26953125" style="1" bestFit="1" customWidth="1"/>
    <col min="1539" max="1539" width="6.7265625" style="1" customWidth="1"/>
    <col min="1540" max="1540" width="22.26953125" style="1" customWidth="1"/>
    <col min="1541" max="1541" width="11.26953125" style="1" customWidth="1"/>
    <col min="1542" max="1542" width="19.1796875" style="1" customWidth="1"/>
    <col min="1543" max="1543" width="24" style="1" customWidth="1"/>
    <col min="1544" max="1544" width="19" style="1" bestFit="1" customWidth="1"/>
    <col min="1545" max="1545" width="9" style="1" bestFit="1" customWidth="1"/>
    <col min="1546" max="1546" width="15.1796875" style="1" bestFit="1" customWidth="1"/>
    <col min="1547" max="1792" width="9.1796875" style="1"/>
    <col min="1793" max="1793" width="3.54296875" style="1" bestFit="1" customWidth="1"/>
    <col min="1794" max="1794" width="11.26953125" style="1" bestFit="1" customWidth="1"/>
    <col min="1795" max="1795" width="6.7265625" style="1" customWidth="1"/>
    <col min="1796" max="1796" width="22.26953125" style="1" customWidth="1"/>
    <col min="1797" max="1797" width="11.26953125" style="1" customWidth="1"/>
    <col min="1798" max="1798" width="19.1796875" style="1" customWidth="1"/>
    <col min="1799" max="1799" width="24" style="1" customWidth="1"/>
    <col min="1800" max="1800" width="19" style="1" bestFit="1" customWidth="1"/>
    <col min="1801" max="1801" width="9" style="1" bestFit="1" customWidth="1"/>
    <col min="1802" max="1802" width="15.1796875" style="1" bestFit="1" customWidth="1"/>
    <col min="1803" max="2048" width="9.1796875" style="1"/>
    <col min="2049" max="2049" width="3.54296875" style="1" bestFit="1" customWidth="1"/>
    <col min="2050" max="2050" width="11.26953125" style="1" bestFit="1" customWidth="1"/>
    <col min="2051" max="2051" width="6.7265625" style="1" customWidth="1"/>
    <col min="2052" max="2052" width="22.26953125" style="1" customWidth="1"/>
    <col min="2053" max="2053" width="11.26953125" style="1" customWidth="1"/>
    <col min="2054" max="2054" width="19.1796875" style="1" customWidth="1"/>
    <col min="2055" max="2055" width="24" style="1" customWidth="1"/>
    <col min="2056" max="2056" width="19" style="1" bestFit="1" customWidth="1"/>
    <col min="2057" max="2057" width="9" style="1" bestFit="1" customWidth="1"/>
    <col min="2058" max="2058" width="15.1796875" style="1" bestFit="1" customWidth="1"/>
    <col min="2059" max="2304" width="9.1796875" style="1"/>
    <col min="2305" max="2305" width="3.54296875" style="1" bestFit="1" customWidth="1"/>
    <col min="2306" max="2306" width="11.26953125" style="1" bestFit="1" customWidth="1"/>
    <col min="2307" max="2307" width="6.7265625" style="1" customWidth="1"/>
    <col min="2308" max="2308" width="22.26953125" style="1" customWidth="1"/>
    <col min="2309" max="2309" width="11.26953125" style="1" customWidth="1"/>
    <col min="2310" max="2310" width="19.1796875" style="1" customWidth="1"/>
    <col min="2311" max="2311" width="24" style="1" customWidth="1"/>
    <col min="2312" max="2312" width="19" style="1" bestFit="1" customWidth="1"/>
    <col min="2313" max="2313" width="9" style="1" bestFit="1" customWidth="1"/>
    <col min="2314" max="2314" width="15.1796875" style="1" bestFit="1" customWidth="1"/>
    <col min="2315" max="2560" width="9.1796875" style="1"/>
    <col min="2561" max="2561" width="3.54296875" style="1" bestFit="1" customWidth="1"/>
    <col min="2562" max="2562" width="11.26953125" style="1" bestFit="1" customWidth="1"/>
    <col min="2563" max="2563" width="6.7265625" style="1" customWidth="1"/>
    <col min="2564" max="2564" width="22.26953125" style="1" customWidth="1"/>
    <col min="2565" max="2565" width="11.26953125" style="1" customWidth="1"/>
    <col min="2566" max="2566" width="19.1796875" style="1" customWidth="1"/>
    <col min="2567" max="2567" width="24" style="1" customWidth="1"/>
    <col min="2568" max="2568" width="19" style="1" bestFit="1" customWidth="1"/>
    <col min="2569" max="2569" width="9" style="1" bestFit="1" customWidth="1"/>
    <col min="2570" max="2570" width="15.1796875" style="1" bestFit="1" customWidth="1"/>
    <col min="2571" max="2816" width="9.1796875" style="1"/>
    <col min="2817" max="2817" width="3.54296875" style="1" bestFit="1" customWidth="1"/>
    <col min="2818" max="2818" width="11.26953125" style="1" bestFit="1" customWidth="1"/>
    <col min="2819" max="2819" width="6.7265625" style="1" customWidth="1"/>
    <col min="2820" max="2820" width="22.26953125" style="1" customWidth="1"/>
    <col min="2821" max="2821" width="11.26953125" style="1" customWidth="1"/>
    <col min="2822" max="2822" width="19.1796875" style="1" customWidth="1"/>
    <col min="2823" max="2823" width="24" style="1" customWidth="1"/>
    <col min="2824" max="2824" width="19" style="1" bestFit="1" customWidth="1"/>
    <col min="2825" max="2825" width="9" style="1" bestFit="1" customWidth="1"/>
    <col min="2826" max="2826" width="15.1796875" style="1" bestFit="1" customWidth="1"/>
    <col min="2827" max="3072" width="9.1796875" style="1"/>
    <col min="3073" max="3073" width="3.54296875" style="1" bestFit="1" customWidth="1"/>
    <col min="3074" max="3074" width="11.26953125" style="1" bestFit="1" customWidth="1"/>
    <col min="3075" max="3075" width="6.7265625" style="1" customWidth="1"/>
    <col min="3076" max="3076" width="22.26953125" style="1" customWidth="1"/>
    <col min="3077" max="3077" width="11.26953125" style="1" customWidth="1"/>
    <col min="3078" max="3078" width="19.1796875" style="1" customWidth="1"/>
    <col min="3079" max="3079" width="24" style="1" customWidth="1"/>
    <col min="3080" max="3080" width="19" style="1" bestFit="1" customWidth="1"/>
    <col min="3081" max="3081" width="9" style="1" bestFit="1" customWidth="1"/>
    <col min="3082" max="3082" width="15.1796875" style="1" bestFit="1" customWidth="1"/>
    <col min="3083" max="3328" width="9.1796875" style="1"/>
    <col min="3329" max="3329" width="3.54296875" style="1" bestFit="1" customWidth="1"/>
    <col min="3330" max="3330" width="11.26953125" style="1" bestFit="1" customWidth="1"/>
    <col min="3331" max="3331" width="6.7265625" style="1" customWidth="1"/>
    <col min="3332" max="3332" width="22.26953125" style="1" customWidth="1"/>
    <col min="3333" max="3333" width="11.26953125" style="1" customWidth="1"/>
    <col min="3334" max="3334" width="19.1796875" style="1" customWidth="1"/>
    <col min="3335" max="3335" width="24" style="1" customWidth="1"/>
    <col min="3336" max="3336" width="19" style="1" bestFit="1" customWidth="1"/>
    <col min="3337" max="3337" width="9" style="1" bestFit="1" customWidth="1"/>
    <col min="3338" max="3338" width="15.1796875" style="1" bestFit="1" customWidth="1"/>
    <col min="3339" max="3584" width="9.1796875" style="1"/>
    <col min="3585" max="3585" width="3.54296875" style="1" bestFit="1" customWidth="1"/>
    <col min="3586" max="3586" width="11.26953125" style="1" bestFit="1" customWidth="1"/>
    <col min="3587" max="3587" width="6.7265625" style="1" customWidth="1"/>
    <col min="3588" max="3588" width="22.26953125" style="1" customWidth="1"/>
    <col min="3589" max="3589" width="11.26953125" style="1" customWidth="1"/>
    <col min="3590" max="3590" width="19.1796875" style="1" customWidth="1"/>
    <col min="3591" max="3591" width="24" style="1" customWidth="1"/>
    <col min="3592" max="3592" width="19" style="1" bestFit="1" customWidth="1"/>
    <col min="3593" max="3593" width="9" style="1" bestFit="1" customWidth="1"/>
    <col min="3594" max="3594" width="15.1796875" style="1" bestFit="1" customWidth="1"/>
    <col min="3595" max="3840" width="9.1796875" style="1"/>
    <col min="3841" max="3841" width="3.54296875" style="1" bestFit="1" customWidth="1"/>
    <col min="3842" max="3842" width="11.26953125" style="1" bestFit="1" customWidth="1"/>
    <col min="3843" max="3843" width="6.7265625" style="1" customWidth="1"/>
    <col min="3844" max="3844" width="22.26953125" style="1" customWidth="1"/>
    <col min="3845" max="3845" width="11.26953125" style="1" customWidth="1"/>
    <col min="3846" max="3846" width="19.1796875" style="1" customWidth="1"/>
    <col min="3847" max="3847" width="24" style="1" customWidth="1"/>
    <col min="3848" max="3848" width="19" style="1" bestFit="1" customWidth="1"/>
    <col min="3849" max="3849" width="9" style="1" bestFit="1" customWidth="1"/>
    <col min="3850" max="3850" width="15.1796875" style="1" bestFit="1" customWidth="1"/>
    <col min="3851" max="4096" width="9.1796875" style="1"/>
    <col min="4097" max="4097" width="3.54296875" style="1" bestFit="1" customWidth="1"/>
    <col min="4098" max="4098" width="11.26953125" style="1" bestFit="1" customWidth="1"/>
    <col min="4099" max="4099" width="6.7265625" style="1" customWidth="1"/>
    <col min="4100" max="4100" width="22.26953125" style="1" customWidth="1"/>
    <col min="4101" max="4101" width="11.26953125" style="1" customWidth="1"/>
    <col min="4102" max="4102" width="19.1796875" style="1" customWidth="1"/>
    <col min="4103" max="4103" width="24" style="1" customWidth="1"/>
    <col min="4104" max="4104" width="19" style="1" bestFit="1" customWidth="1"/>
    <col min="4105" max="4105" width="9" style="1" bestFit="1" customWidth="1"/>
    <col min="4106" max="4106" width="15.1796875" style="1" bestFit="1" customWidth="1"/>
    <col min="4107" max="4352" width="9.1796875" style="1"/>
    <col min="4353" max="4353" width="3.54296875" style="1" bestFit="1" customWidth="1"/>
    <col min="4354" max="4354" width="11.26953125" style="1" bestFit="1" customWidth="1"/>
    <col min="4355" max="4355" width="6.7265625" style="1" customWidth="1"/>
    <col min="4356" max="4356" width="22.26953125" style="1" customWidth="1"/>
    <col min="4357" max="4357" width="11.26953125" style="1" customWidth="1"/>
    <col min="4358" max="4358" width="19.1796875" style="1" customWidth="1"/>
    <col min="4359" max="4359" width="24" style="1" customWidth="1"/>
    <col min="4360" max="4360" width="19" style="1" bestFit="1" customWidth="1"/>
    <col min="4361" max="4361" width="9" style="1" bestFit="1" customWidth="1"/>
    <col min="4362" max="4362" width="15.1796875" style="1" bestFit="1" customWidth="1"/>
    <col min="4363" max="4608" width="9.1796875" style="1"/>
    <col min="4609" max="4609" width="3.54296875" style="1" bestFit="1" customWidth="1"/>
    <col min="4610" max="4610" width="11.26953125" style="1" bestFit="1" customWidth="1"/>
    <col min="4611" max="4611" width="6.7265625" style="1" customWidth="1"/>
    <col min="4612" max="4612" width="22.26953125" style="1" customWidth="1"/>
    <col min="4613" max="4613" width="11.26953125" style="1" customWidth="1"/>
    <col min="4614" max="4614" width="19.1796875" style="1" customWidth="1"/>
    <col min="4615" max="4615" width="24" style="1" customWidth="1"/>
    <col min="4616" max="4616" width="19" style="1" bestFit="1" customWidth="1"/>
    <col min="4617" max="4617" width="9" style="1" bestFit="1" customWidth="1"/>
    <col min="4618" max="4618" width="15.1796875" style="1" bestFit="1" customWidth="1"/>
    <col min="4619" max="4864" width="9.1796875" style="1"/>
    <col min="4865" max="4865" width="3.54296875" style="1" bestFit="1" customWidth="1"/>
    <col min="4866" max="4866" width="11.26953125" style="1" bestFit="1" customWidth="1"/>
    <col min="4867" max="4867" width="6.7265625" style="1" customWidth="1"/>
    <col min="4868" max="4868" width="22.26953125" style="1" customWidth="1"/>
    <col min="4869" max="4869" width="11.26953125" style="1" customWidth="1"/>
    <col min="4870" max="4870" width="19.1796875" style="1" customWidth="1"/>
    <col min="4871" max="4871" width="24" style="1" customWidth="1"/>
    <col min="4872" max="4872" width="19" style="1" bestFit="1" customWidth="1"/>
    <col min="4873" max="4873" width="9" style="1" bestFit="1" customWidth="1"/>
    <col min="4874" max="4874" width="15.1796875" style="1" bestFit="1" customWidth="1"/>
    <col min="4875" max="5120" width="9.1796875" style="1"/>
    <col min="5121" max="5121" width="3.54296875" style="1" bestFit="1" customWidth="1"/>
    <col min="5122" max="5122" width="11.26953125" style="1" bestFit="1" customWidth="1"/>
    <col min="5123" max="5123" width="6.7265625" style="1" customWidth="1"/>
    <col min="5124" max="5124" width="22.26953125" style="1" customWidth="1"/>
    <col min="5125" max="5125" width="11.26953125" style="1" customWidth="1"/>
    <col min="5126" max="5126" width="19.1796875" style="1" customWidth="1"/>
    <col min="5127" max="5127" width="24" style="1" customWidth="1"/>
    <col min="5128" max="5128" width="19" style="1" bestFit="1" customWidth="1"/>
    <col min="5129" max="5129" width="9" style="1" bestFit="1" customWidth="1"/>
    <col min="5130" max="5130" width="15.1796875" style="1" bestFit="1" customWidth="1"/>
    <col min="5131" max="5376" width="9.1796875" style="1"/>
    <col min="5377" max="5377" width="3.54296875" style="1" bestFit="1" customWidth="1"/>
    <col min="5378" max="5378" width="11.26953125" style="1" bestFit="1" customWidth="1"/>
    <col min="5379" max="5379" width="6.7265625" style="1" customWidth="1"/>
    <col min="5380" max="5380" width="22.26953125" style="1" customWidth="1"/>
    <col min="5381" max="5381" width="11.26953125" style="1" customWidth="1"/>
    <col min="5382" max="5382" width="19.1796875" style="1" customWidth="1"/>
    <col min="5383" max="5383" width="24" style="1" customWidth="1"/>
    <col min="5384" max="5384" width="19" style="1" bestFit="1" customWidth="1"/>
    <col min="5385" max="5385" width="9" style="1" bestFit="1" customWidth="1"/>
    <col min="5386" max="5386" width="15.1796875" style="1" bestFit="1" customWidth="1"/>
    <col min="5387" max="5632" width="9.1796875" style="1"/>
    <col min="5633" max="5633" width="3.54296875" style="1" bestFit="1" customWidth="1"/>
    <col min="5634" max="5634" width="11.26953125" style="1" bestFit="1" customWidth="1"/>
    <col min="5635" max="5635" width="6.7265625" style="1" customWidth="1"/>
    <col min="5636" max="5636" width="22.26953125" style="1" customWidth="1"/>
    <col min="5637" max="5637" width="11.26953125" style="1" customWidth="1"/>
    <col min="5638" max="5638" width="19.1796875" style="1" customWidth="1"/>
    <col min="5639" max="5639" width="24" style="1" customWidth="1"/>
    <col min="5640" max="5640" width="19" style="1" bestFit="1" customWidth="1"/>
    <col min="5641" max="5641" width="9" style="1" bestFit="1" customWidth="1"/>
    <col min="5642" max="5642" width="15.1796875" style="1" bestFit="1" customWidth="1"/>
    <col min="5643" max="5888" width="9.1796875" style="1"/>
    <col min="5889" max="5889" width="3.54296875" style="1" bestFit="1" customWidth="1"/>
    <col min="5890" max="5890" width="11.26953125" style="1" bestFit="1" customWidth="1"/>
    <col min="5891" max="5891" width="6.7265625" style="1" customWidth="1"/>
    <col min="5892" max="5892" width="22.26953125" style="1" customWidth="1"/>
    <col min="5893" max="5893" width="11.26953125" style="1" customWidth="1"/>
    <col min="5894" max="5894" width="19.1796875" style="1" customWidth="1"/>
    <col min="5895" max="5895" width="24" style="1" customWidth="1"/>
    <col min="5896" max="5896" width="19" style="1" bestFit="1" customWidth="1"/>
    <col min="5897" max="5897" width="9" style="1" bestFit="1" customWidth="1"/>
    <col min="5898" max="5898" width="15.1796875" style="1" bestFit="1" customWidth="1"/>
    <col min="5899" max="6144" width="9.1796875" style="1"/>
    <col min="6145" max="6145" width="3.54296875" style="1" bestFit="1" customWidth="1"/>
    <col min="6146" max="6146" width="11.26953125" style="1" bestFit="1" customWidth="1"/>
    <col min="6147" max="6147" width="6.7265625" style="1" customWidth="1"/>
    <col min="6148" max="6148" width="22.26953125" style="1" customWidth="1"/>
    <col min="6149" max="6149" width="11.26953125" style="1" customWidth="1"/>
    <col min="6150" max="6150" width="19.1796875" style="1" customWidth="1"/>
    <col min="6151" max="6151" width="24" style="1" customWidth="1"/>
    <col min="6152" max="6152" width="19" style="1" bestFit="1" customWidth="1"/>
    <col min="6153" max="6153" width="9" style="1" bestFit="1" customWidth="1"/>
    <col min="6154" max="6154" width="15.1796875" style="1" bestFit="1" customWidth="1"/>
    <col min="6155" max="6400" width="9.1796875" style="1"/>
    <col min="6401" max="6401" width="3.54296875" style="1" bestFit="1" customWidth="1"/>
    <col min="6402" max="6402" width="11.26953125" style="1" bestFit="1" customWidth="1"/>
    <col min="6403" max="6403" width="6.7265625" style="1" customWidth="1"/>
    <col min="6404" max="6404" width="22.26953125" style="1" customWidth="1"/>
    <col min="6405" max="6405" width="11.26953125" style="1" customWidth="1"/>
    <col min="6406" max="6406" width="19.1796875" style="1" customWidth="1"/>
    <col min="6407" max="6407" width="24" style="1" customWidth="1"/>
    <col min="6408" max="6408" width="19" style="1" bestFit="1" customWidth="1"/>
    <col min="6409" max="6409" width="9" style="1" bestFit="1" customWidth="1"/>
    <col min="6410" max="6410" width="15.1796875" style="1" bestFit="1" customWidth="1"/>
    <col min="6411" max="6656" width="9.1796875" style="1"/>
    <col min="6657" max="6657" width="3.54296875" style="1" bestFit="1" customWidth="1"/>
    <col min="6658" max="6658" width="11.26953125" style="1" bestFit="1" customWidth="1"/>
    <col min="6659" max="6659" width="6.7265625" style="1" customWidth="1"/>
    <col min="6660" max="6660" width="22.26953125" style="1" customWidth="1"/>
    <col min="6661" max="6661" width="11.26953125" style="1" customWidth="1"/>
    <col min="6662" max="6662" width="19.1796875" style="1" customWidth="1"/>
    <col min="6663" max="6663" width="24" style="1" customWidth="1"/>
    <col min="6664" max="6664" width="19" style="1" bestFit="1" customWidth="1"/>
    <col min="6665" max="6665" width="9" style="1" bestFit="1" customWidth="1"/>
    <col min="6666" max="6666" width="15.1796875" style="1" bestFit="1" customWidth="1"/>
    <col min="6667" max="6912" width="9.1796875" style="1"/>
    <col min="6913" max="6913" width="3.54296875" style="1" bestFit="1" customWidth="1"/>
    <col min="6914" max="6914" width="11.26953125" style="1" bestFit="1" customWidth="1"/>
    <col min="6915" max="6915" width="6.7265625" style="1" customWidth="1"/>
    <col min="6916" max="6916" width="22.26953125" style="1" customWidth="1"/>
    <col min="6917" max="6917" width="11.26953125" style="1" customWidth="1"/>
    <col min="6918" max="6918" width="19.1796875" style="1" customWidth="1"/>
    <col min="6919" max="6919" width="24" style="1" customWidth="1"/>
    <col min="6920" max="6920" width="19" style="1" bestFit="1" customWidth="1"/>
    <col min="6921" max="6921" width="9" style="1" bestFit="1" customWidth="1"/>
    <col min="6922" max="6922" width="15.1796875" style="1" bestFit="1" customWidth="1"/>
    <col min="6923" max="7168" width="9.1796875" style="1"/>
    <col min="7169" max="7169" width="3.54296875" style="1" bestFit="1" customWidth="1"/>
    <col min="7170" max="7170" width="11.26953125" style="1" bestFit="1" customWidth="1"/>
    <col min="7171" max="7171" width="6.7265625" style="1" customWidth="1"/>
    <col min="7172" max="7172" width="22.26953125" style="1" customWidth="1"/>
    <col min="7173" max="7173" width="11.26953125" style="1" customWidth="1"/>
    <col min="7174" max="7174" width="19.1796875" style="1" customWidth="1"/>
    <col min="7175" max="7175" width="24" style="1" customWidth="1"/>
    <col min="7176" max="7176" width="19" style="1" bestFit="1" customWidth="1"/>
    <col min="7177" max="7177" width="9" style="1" bestFit="1" customWidth="1"/>
    <col min="7178" max="7178" width="15.1796875" style="1" bestFit="1" customWidth="1"/>
    <col min="7179" max="7424" width="9.1796875" style="1"/>
    <col min="7425" max="7425" width="3.54296875" style="1" bestFit="1" customWidth="1"/>
    <col min="7426" max="7426" width="11.26953125" style="1" bestFit="1" customWidth="1"/>
    <col min="7427" max="7427" width="6.7265625" style="1" customWidth="1"/>
    <col min="7428" max="7428" width="22.26953125" style="1" customWidth="1"/>
    <col min="7429" max="7429" width="11.26953125" style="1" customWidth="1"/>
    <col min="7430" max="7430" width="19.1796875" style="1" customWidth="1"/>
    <col min="7431" max="7431" width="24" style="1" customWidth="1"/>
    <col min="7432" max="7432" width="19" style="1" bestFit="1" customWidth="1"/>
    <col min="7433" max="7433" width="9" style="1" bestFit="1" customWidth="1"/>
    <col min="7434" max="7434" width="15.1796875" style="1" bestFit="1" customWidth="1"/>
    <col min="7435" max="7680" width="9.1796875" style="1"/>
    <col min="7681" max="7681" width="3.54296875" style="1" bestFit="1" customWidth="1"/>
    <col min="7682" max="7682" width="11.26953125" style="1" bestFit="1" customWidth="1"/>
    <col min="7683" max="7683" width="6.7265625" style="1" customWidth="1"/>
    <col min="7684" max="7684" width="22.26953125" style="1" customWidth="1"/>
    <col min="7685" max="7685" width="11.26953125" style="1" customWidth="1"/>
    <col min="7686" max="7686" width="19.1796875" style="1" customWidth="1"/>
    <col min="7687" max="7687" width="24" style="1" customWidth="1"/>
    <col min="7688" max="7688" width="19" style="1" bestFit="1" customWidth="1"/>
    <col min="7689" max="7689" width="9" style="1" bestFit="1" customWidth="1"/>
    <col min="7690" max="7690" width="15.1796875" style="1" bestFit="1" customWidth="1"/>
    <col min="7691" max="7936" width="9.1796875" style="1"/>
    <col min="7937" max="7937" width="3.54296875" style="1" bestFit="1" customWidth="1"/>
    <col min="7938" max="7938" width="11.26953125" style="1" bestFit="1" customWidth="1"/>
    <col min="7939" max="7939" width="6.7265625" style="1" customWidth="1"/>
    <col min="7940" max="7940" width="22.26953125" style="1" customWidth="1"/>
    <col min="7941" max="7941" width="11.26953125" style="1" customWidth="1"/>
    <col min="7942" max="7942" width="19.1796875" style="1" customWidth="1"/>
    <col min="7943" max="7943" width="24" style="1" customWidth="1"/>
    <col min="7944" max="7944" width="19" style="1" bestFit="1" customWidth="1"/>
    <col min="7945" max="7945" width="9" style="1" bestFit="1" customWidth="1"/>
    <col min="7946" max="7946" width="15.1796875" style="1" bestFit="1" customWidth="1"/>
    <col min="7947" max="8192" width="9.1796875" style="1"/>
    <col min="8193" max="8193" width="3.54296875" style="1" bestFit="1" customWidth="1"/>
    <col min="8194" max="8194" width="11.26953125" style="1" bestFit="1" customWidth="1"/>
    <col min="8195" max="8195" width="6.7265625" style="1" customWidth="1"/>
    <col min="8196" max="8196" width="22.26953125" style="1" customWidth="1"/>
    <col min="8197" max="8197" width="11.26953125" style="1" customWidth="1"/>
    <col min="8198" max="8198" width="19.1796875" style="1" customWidth="1"/>
    <col min="8199" max="8199" width="24" style="1" customWidth="1"/>
    <col min="8200" max="8200" width="19" style="1" bestFit="1" customWidth="1"/>
    <col min="8201" max="8201" width="9" style="1" bestFit="1" customWidth="1"/>
    <col min="8202" max="8202" width="15.1796875" style="1" bestFit="1" customWidth="1"/>
    <col min="8203" max="8448" width="9.1796875" style="1"/>
    <col min="8449" max="8449" width="3.54296875" style="1" bestFit="1" customWidth="1"/>
    <col min="8450" max="8450" width="11.26953125" style="1" bestFit="1" customWidth="1"/>
    <col min="8451" max="8451" width="6.7265625" style="1" customWidth="1"/>
    <col min="8452" max="8452" width="22.26953125" style="1" customWidth="1"/>
    <col min="8453" max="8453" width="11.26953125" style="1" customWidth="1"/>
    <col min="8454" max="8454" width="19.1796875" style="1" customWidth="1"/>
    <col min="8455" max="8455" width="24" style="1" customWidth="1"/>
    <col min="8456" max="8456" width="19" style="1" bestFit="1" customWidth="1"/>
    <col min="8457" max="8457" width="9" style="1" bestFit="1" customWidth="1"/>
    <col min="8458" max="8458" width="15.1796875" style="1" bestFit="1" customWidth="1"/>
    <col min="8459" max="8704" width="9.1796875" style="1"/>
    <col min="8705" max="8705" width="3.54296875" style="1" bestFit="1" customWidth="1"/>
    <col min="8706" max="8706" width="11.26953125" style="1" bestFit="1" customWidth="1"/>
    <col min="8707" max="8707" width="6.7265625" style="1" customWidth="1"/>
    <col min="8708" max="8708" width="22.26953125" style="1" customWidth="1"/>
    <col min="8709" max="8709" width="11.26953125" style="1" customWidth="1"/>
    <col min="8710" max="8710" width="19.1796875" style="1" customWidth="1"/>
    <col min="8711" max="8711" width="24" style="1" customWidth="1"/>
    <col min="8712" max="8712" width="19" style="1" bestFit="1" customWidth="1"/>
    <col min="8713" max="8713" width="9" style="1" bestFit="1" customWidth="1"/>
    <col min="8714" max="8714" width="15.1796875" style="1" bestFit="1" customWidth="1"/>
    <col min="8715" max="8960" width="9.1796875" style="1"/>
    <col min="8961" max="8961" width="3.54296875" style="1" bestFit="1" customWidth="1"/>
    <col min="8962" max="8962" width="11.26953125" style="1" bestFit="1" customWidth="1"/>
    <col min="8963" max="8963" width="6.7265625" style="1" customWidth="1"/>
    <col min="8964" max="8964" width="22.26953125" style="1" customWidth="1"/>
    <col min="8965" max="8965" width="11.26953125" style="1" customWidth="1"/>
    <col min="8966" max="8966" width="19.1796875" style="1" customWidth="1"/>
    <col min="8967" max="8967" width="24" style="1" customWidth="1"/>
    <col min="8968" max="8968" width="19" style="1" bestFit="1" customWidth="1"/>
    <col min="8969" max="8969" width="9" style="1" bestFit="1" customWidth="1"/>
    <col min="8970" max="8970" width="15.1796875" style="1" bestFit="1" customWidth="1"/>
    <col min="8971" max="9216" width="9.1796875" style="1"/>
    <col min="9217" max="9217" width="3.54296875" style="1" bestFit="1" customWidth="1"/>
    <col min="9218" max="9218" width="11.26953125" style="1" bestFit="1" customWidth="1"/>
    <col min="9219" max="9219" width="6.7265625" style="1" customWidth="1"/>
    <col min="9220" max="9220" width="22.26953125" style="1" customWidth="1"/>
    <col min="9221" max="9221" width="11.26953125" style="1" customWidth="1"/>
    <col min="9222" max="9222" width="19.1796875" style="1" customWidth="1"/>
    <col min="9223" max="9223" width="24" style="1" customWidth="1"/>
    <col min="9224" max="9224" width="19" style="1" bestFit="1" customWidth="1"/>
    <col min="9225" max="9225" width="9" style="1" bestFit="1" customWidth="1"/>
    <col min="9226" max="9226" width="15.1796875" style="1" bestFit="1" customWidth="1"/>
    <col min="9227" max="9472" width="9.1796875" style="1"/>
    <col min="9473" max="9473" width="3.54296875" style="1" bestFit="1" customWidth="1"/>
    <col min="9474" max="9474" width="11.26953125" style="1" bestFit="1" customWidth="1"/>
    <col min="9475" max="9475" width="6.7265625" style="1" customWidth="1"/>
    <col min="9476" max="9476" width="22.26953125" style="1" customWidth="1"/>
    <col min="9477" max="9477" width="11.26953125" style="1" customWidth="1"/>
    <col min="9478" max="9478" width="19.1796875" style="1" customWidth="1"/>
    <col min="9479" max="9479" width="24" style="1" customWidth="1"/>
    <col min="9480" max="9480" width="19" style="1" bestFit="1" customWidth="1"/>
    <col min="9481" max="9481" width="9" style="1" bestFit="1" customWidth="1"/>
    <col min="9482" max="9482" width="15.1796875" style="1" bestFit="1" customWidth="1"/>
    <col min="9483" max="9728" width="9.1796875" style="1"/>
    <col min="9729" max="9729" width="3.54296875" style="1" bestFit="1" customWidth="1"/>
    <col min="9730" max="9730" width="11.26953125" style="1" bestFit="1" customWidth="1"/>
    <col min="9731" max="9731" width="6.7265625" style="1" customWidth="1"/>
    <col min="9732" max="9732" width="22.26953125" style="1" customWidth="1"/>
    <col min="9733" max="9733" width="11.26953125" style="1" customWidth="1"/>
    <col min="9734" max="9734" width="19.1796875" style="1" customWidth="1"/>
    <col min="9735" max="9735" width="24" style="1" customWidth="1"/>
    <col min="9736" max="9736" width="19" style="1" bestFit="1" customWidth="1"/>
    <col min="9737" max="9737" width="9" style="1" bestFit="1" customWidth="1"/>
    <col min="9738" max="9738" width="15.1796875" style="1" bestFit="1" customWidth="1"/>
    <col min="9739" max="9984" width="9.1796875" style="1"/>
    <col min="9985" max="9985" width="3.54296875" style="1" bestFit="1" customWidth="1"/>
    <col min="9986" max="9986" width="11.26953125" style="1" bestFit="1" customWidth="1"/>
    <col min="9987" max="9987" width="6.7265625" style="1" customWidth="1"/>
    <col min="9988" max="9988" width="22.26953125" style="1" customWidth="1"/>
    <col min="9989" max="9989" width="11.26953125" style="1" customWidth="1"/>
    <col min="9990" max="9990" width="19.1796875" style="1" customWidth="1"/>
    <col min="9991" max="9991" width="24" style="1" customWidth="1"/>
    <col min="9992" max="9992" width="19" style="1" bestFit="1" customWidth="1"/>
    <col min="9993" max="9993" width="9" style="1" bestFit="1" customWidth="1"/>
    <col min="9994" max="9994" width="15.1796875" style="1" bestFit="1" customWidth="1"/>
    <col min="9995" max="10240" width="9.1796875" style="1"/>
    <col min="10241" max="10241" width="3.54296875" style="1" bestFit="1" customWidth="1"/>
    <col min="10242" max="10242" width="11.26953125" style="1" bestFit="1" customWidth="1"/>
    <col min="10243" max="10243" width="6.7265625" style="1" customWidth="1"/>
    <col min="10244" max="10244" width="22.26953125" style="1" customWidth="1"/>
    <col min="10245" max="10245" width="11.26953125" style="1" customWidth="1"/>
    <col min="10246" max="10246" width="19.1796875" style="1" customWidth="1"/>
    <col min="10247" max="10247" width="24" style="1" customWidth="1"/>
    <col min="10248" max="10248" width="19" style="1" bestFit="1" customWidth="1"/>
    <col min="10249" max="10249" width="9" style="1" bestFit="1" customWidth="1"/>
    <col min="10250" max="10250" width="15.1796875" style="1" bestFit="1" customWidth="1"/>
    <col min="10251" max="10496" width="9.1796875" style="1"/>
    <col min="10497" max="10497" width="3.54296875" style="1" bestFit="1" customWidth="1"/>
    <col min="10498" max="10498" width="11.26953125" style="1" bestFit="1" customWidth="1"/>
    <col min="10499" max="10499" width="6.7265625" style="1" customWidth="1"/>
    <col min="10500" max="10500" width="22.26953125" style="1" customWidth="1"/>
    <col min="10501" max="10501" width="11.26953125" style="1" customWidth="1"/>
    <col min="10502" max="10502" width="19.1796875" style="1" customWidth="1"/>
    <col min="10503" max="10503" width="24" style="1" customWidth="1"/>
    <col min="10504" max="10504" width="19" style="1" bestFit="1" customWidth="1"/>
    <col min="10505" max="10505" width="9" style="1" bestFit="1" customWidth="1"/>
    <col min="10506" max="10506" width="15.1796875" style="1" bestFit="1" customWidth="1"/>
    <col min="10507" max="10752" width="9.1796875" style="1"/>
    <col min="10753" max="10753" width="3.54296875" style="1" bestFit="1" customWidth="1"/>
    <col min="10754" max="10754" width="11.26953125" style="1" bestFit="1" customWidth="1"/>
    <col min="10755" max="10755" width="6.7265625" style="1" customWidth="1"/>
    <col min="10756" max="10756" width="22.26953125" style="1" customWidth="1"/>
    <col min="10757" max="10757" width="11.26953125" style="1" customWidth="1"/>
    <col min="10758" max="10758" width="19.1796875" style="1" customWidth="1"/>
    <col min="10759" max="10759" width="24" style="1" customWidth="1"/>
    <col min="10760" max="10760" width="19" style="1" bestFit="1" customWidth="1"/>
    <col min="10761" max="10761" width="9" style="1" bestFit="1" customWidth="1"/>
    <col min="10762" max="10762" width="15.1796875" style="1" bestFit="1" customWidth="1"/>
    <col min="10763" max="11008" width="9.1796875" style="1"/>
    <col min="11009" max="11009" width="3.54296875" style="1" bestFit="1" customWidth="1"/>
    <col min="11010" max="11010" width="11.26953125" style="1" bestFit="1" customWidth="1"/>
    <col min="11011" max="11011" width="6.7265625" style="1" customWidth="1"/>
    <col min="11012" max="11012" width="22.26953125" style="1" customWidth="1"/>
    <col min="11013" max="11013" width="11.26953125" style="1" customWidth="1"/>
    <col min="11014" max="11014" width="19.1796875" style="1" customWidth="1"/>
    <col min="11015" max="11015" width="24" style="1" customWidth="1"/>
    <col min="11016" max="11016" width="19" style="1" bestFit="1" customWidth="1"/>
    <col min="11017" max="11017" width="9" style="1" bestFit="1" customWidth="1"/>
    <col min="11018" max="11018" width="15.1796875" style="1" bestFit="1" customWidth="1"/>
    <col min="11019" max="11264" width="9.1796875" style="1"/>
    <col min="11265" max="11265" width="3.54296875" style="1" bestFit="1" customWidth="1"/>
    <col min="11266" max="11266" width="11.26953125" style="1" bestFit="1" customWidth="1"/>
    <col min="11267" max="11267" width="6.7265625" style="1" customWidth="1"/>
    <col min="11268" max="11268" width="22.26953125" style="1" customWidth="1"/>
    <col min="11269" max="11269" width="11.26953125" style="1" customWidth="1"/>
    <col min="11270" max="11270" width="19.1796875" style="1" customWidth="1"/>
    <col min="11271" max="11271" width="24" style="1" customWidth="1"/>
    <col min="11272" max="11272" width="19" style="1" bestFit="1" customWidth="1"/>
    <col min="11273" max="11273" width="9" style="1" bestFit="1" customWidth="1"/>
    <col min="11274" max="11274" width="15.1796875" style="1" bestFit="1" customWidth="1"/>
    <col min="11275" max="11520" width="9.1796875" style="1"/>
    <col min="11521" max="11521" width="3.54296875" style="1" bestFit="1" customWidth="1"/>
    <col min="11522" max="11522" width="11.26953125" style="1" bestFit="1" customWidth="1"/>
    <col min="11523" max="11523" width="6.7265625" style="1" customWidth="1"/>
    <col min="11524" max="11524" width="22.26953125" style="1" customWidth="1"/>
    <col min="11525" max="11525" width="11.26953125" style="1" customWidth="1"/>
    <col min="11526" max="11526" width="19.1796875" style="1" customWidth="1"/>
    <col min="11527" max="11527" width="24" style="1" customWidth="1"/>
    <col min="11528" max="11528" width="19" style="1" bestFit="1" customWidth="1"/>
    <col min="11529" max="11529" width="9" style="1" bestFit="1" customWidth="1"/>
    <col min="11530" max="11530" width="15.1796875" style="1" bestFit="1" customWidth="1"/>
    <col min="11531" max="11776" width="9.1796875" style="1"/>
    <col min="11777" max="11777" width="3.54296875" style="1" bestFit="1" customWidth="1"/>
    <col min="11778" max="11778" width="11.26953125" style="1" bestFit="1" customWidth="1"/>
    <col min="11779" max="11779" width="6.7265625" style="1" customWidth="1"/>
    <col min="11780" max="11780" width="22.26953125" style="1" customWidth="1"/>
    <col min="11781" max="11781" width="11.26953125" style="1" customWidth="1"/>
    <col min="11782" max="11782" width="19.1796875" style="1" customWidth="1"/>
    <col min="11783" max="11783" width="24" style="1" customWidth="1"/>
    <col min="11784" max="11784" width="19" style="1" bestFit="1" customWidth="1"/>
    <col min="11785" max="11785" width="9" style="1" bestFit="1" customWidth="1"/>
    <col min="11786" max="11786" width="15.1796875" style="1" bestFit="1" customWidth="1"/>
    <col min="11787" max="12032" width="9.1796875" style="1"/>
    <col min="12033" max="12033" width="3.54296875" style="1" bestFit="1" customWidth="1"/>
    <col min="12034" max="12034" width="11.26953125" style="1" bestFit="1" customWidth="1"/>
    <col min="12035" max="12035" width="6.7265625" style="1" customWidth="1"/>
    <col min="12036" max="12036" width="22.26953125" style="1" customWidth="1"/>
    <col min="12037" max="12037" width="11.26953125" style="1" customWidth="1"/>
    <col min="12038" max="12038" width="19.1796875" style="1" customWidth="1"/>
    <col min="12039" max="12039" width="24" style="1" customWidth="1"/>
    <col min="12040" max="12040" width="19" style="1" bestFit="1" customWidth="1"/>
    <col min="12041" max="12041" width="9" style="1" bestFit="1" customWidth="1"/>
    <col min="12042" max="12042" width="15.1796875" style="1" bestFit="1" customWidth="1"/>
    <col min="12043" max="12288" width="9.1796875" style="1"/>
    <col min="12289" max="12289" width="3.54296875" style="1" bestFit="1" customWidth="1"/>
    <col min="12290" max="12290" width="11.26953125" style="1" bestFit="1" customWidth="1"/>
    <col min="12291" max="12291" width="6.7265625" style="1" customWidth="1"/>
    <col min="12292" max="12292" width="22.26953125" style="1" customWidth="1"/>
    <col min="12293" max="12293" width="11.26953125" style="1" customWidth="1"/>
    <col min="12294" max="12294" width="19.1796875" style="1" customWidth="1"/>
    <col min="12295" max="12295" width="24" style="1" customWidth="1"/>
    <col min="12296" max="12296" width="19" style="1" bestFit="1" customWidth="1"/>
    <col min="12297" max="12297" width="9" style="1" bestFit="1" customWidth="1"/>
    <col min="12298" max="12298" width="15.1796875" style="1" bestFit="1" customWidth="1"/>
    <col min="12299" max="12544" width="9.1796875" style="1"/>
    <col min="12545" max="12545" width="3.54296875" style="1" bestFit="1" customWidth="1"/>
    <col min="12546" max="12546" width="11.26953125" style="1" bestFit="1" customWidth="1"/>
    <col min="12547" max="12547" width="6.7265625" style="1" customWidth="1"/>
    <col min="12548" max="12548" width="22.26953125" style="1" customWidth="1"/>
    <col min="12549" max="12549" width="11.26953125" style="1" customWidth="1"/>
    <col min="12550" max="12550" width="19.1796875" style="1" customWidth="1"/>
    <col min="12551" max="12551" width="24" style="1" customWidth="1"/>
    <col min="12552" max="12552" width="19" style="1" bestFit="1" customWidth="1"/>
    <col min="12553" max="12553" width="9" style="1" bestFit="1" customWidth="1"/>
    <col min="12554" max="12554" width="15.1796875" style="1" bestFit="1" customWidth="1"/>
    <col min="12555" max="12800" width="9.1796875" style="1"/>
    <col min="12801" max="12801" width="3.54296875" style="1" bestFit="1" customWidth="1"/>
    <col min="12802" max="12802" width="11.26953125" style="1" bestFit="1" customWidth="1"/>
    <col min="12803" max="12803" width="6.7265625" style="1" customWidth="1"/>
    <col min="12804" max="12804" width="22.26953125" style="1" customWidth="1"/>
    <col min="12805" max="12805" width="11.26953125" style="1" customWidth="1"/>
    <col min="12806" max="12806" width="19.1796875" style="1" customWidth="1"/>
    <col min="12807" max="12807" width="24" style="1" customWidth="1"/>
    <col min="12808" max="12808" width="19" style="1" bestFit="1" customWidth="1"/>
    <col min="12809" max="12809" width="9" style="1" bestFit="1" customWidth="1"/>
    <col min="12810" max="12810" width="15.1796875" style="1" bestFit="1" customWidth="1"/>
    <col min="12811" max="13056" width="9.1796875" style="1"/>
    <col min="13057" max="13057" width="3.54296875" style="1" bestFit="1" customWidth="1"/>
    <col min="13058" max="13058" width="11.26953125" style="1" bestFit="1" customWidth="1"/>
    <col min="13059" max="13059" width="6.7265625" style="1" customWidth="1"/>
    <col min="13060" max="13060" width="22.26953125" style="1" customWidth="1"/>
    <col min="13061" max="13061" width="11.26953125" style="1" customWidth="1"/>
    <col min="13062" max="13062" width="19.1796875" style="1" customWidth="1"/>
    <col min="13063" max="13063" width="24" style="1" customWidth="1"/>
    <col min="13064" max="13064" width="19" style="1" bestFit="1" customWidth="1"/>
    <col min="13065" max="13065" width="9" style="1" bestFit="1" customWidth="1"/>
    <col min="13066" max="13066" width="15.1796875" style="1" bestFit="1" customWidth="1"/>
    <col min="13067" max="13312" width="9.1796875" style="1"/>
    <col min="13313" max="13313" width="3.54296875" style="1" bestFit="1" customWidth="1"/>
    <col min="13314" max="13314" width="11.26953125" style="1" bestFit="1" customWidth="1"/>
    <col min="13315" max="13315" width="6.7265625" style="1" customWidth="1"/>
    <col min="13316" max="13316" width="22.26953125" style="1" customWidth="1"/>
    <col min="13317" max="13317" width="11.26953125" style="1" customWidth="1"/>
    <col min="13318" max="13318" width="19.1796875" style="1" customWidth="1"/>
    <col min="13319" max="13319" width="24" style="1" customWidth="1"/>
    <col min="13320" max="13320" width="19" style="1" bestFit="1" customWidth="1"/>
    <col min="13321" max="13321" width="9" style="1" bestFit="1" customWidth="1"/>
    <col min="13322" max="13322" width="15.1796875" style="1" bestFit="1" customWidth="1"/>
    <col min="13323" max="13568" width="9.1796875" style="1"/>
    <col min="13569" max="13569" width="3.54296875" style="1" bestFit="1" customWidth="1"/>
    <col min="13570" max="13570" width="11.26953125" style="1" bestFit="1" customWidth="1"/>
    <col min="13571" max="13571" width="6.7265625" style="1" customWidth="1"/>
    <col min="13572" max="13572" width="22.26953125" style="1" customWidth="1"/>
    <col min="13573" max="13573" width="11.26953125" style="1" customWidth="1"/>
    <col min="13574" max="13574" width="19.1796875" style="1" customWidth="1"/>
    <col min="13575" max="13575" width="24" style="1" customWidth="1"/>
    <col min="13576" max="13576" width="19" style="1" bestFit="1" customWidth="1"/>
    <col min="13577" max="13577" width="9" style="1" bestFit="1" customWidth="1"/>
    <col min="13578" max="13578" width="15.1796875" style="1" bestFit="1" customWidth="1"/>
    <col min="13579" max="13824" width="9.1796875" style="1"/>
    <col min="13825" max="13825" width="3.54296875" style="1" bestFit="1" customWidth="1"/>
    <col min="13826" max="13826" width="11.26953125" style="1" bestFit="1" customWidth="1"/>
    <col min="13827" max="13827" width="6.7265625" style="1" customWidth="1"/>
    <col min="13828" max="13828" width="22.26953125" style="1" customWidth="1"/>
    <col min="13829" max="13829" width="11.26953125" style="1" customWidth="1"/>
    <col min="13830" max="13830" width="19.1796875" style="1" customWidth="1"/>
    <col min="13831" max="13831" width="24" style="1" customWidth="1"/>
    <col min="13832" max="13832" width="19" style="1" bestFit="1" customWidth="1"/>
    <col min="13833" max="13833" width="9" style="1" bestFit="1" customWidth="1"/>
    <col min="13834" max="13834" width="15.1796875" style="1" bestFit="1" customWidth="1"/>
    <col min="13835" max="14080" width="9.1796875" style="1"/>
    <col min="14081" max="14081" width="3.54296875" style="1" bestFit="1" customWidth="1"/>
    <col min="14082" max="14082" width="11.26953125" style="1" bestFit="1" customWidth="1"/>
    <col min="14083" max="14083" width="6.7265625" style="1" customWidth="1"/>
    <col min="14084" max="14084" width="22.26953125" style="1" customWidth="1"/>
    <col min="14085" max="14085" width="11.26953125" style="1" customWidth="1"/>
    <col min="14086" max="14086" width="19.1796875" style="1" customWidth="1"/>
    <col min="14087" max="14087" width="24" style="1" customWidth="1"/>
    <col min="14088" max="14088" width="19" style="1" bestFit="1" customWidth="1"/>
    <col min="14089" max="14089" width="9" style="1" bestFit="1" customWidth="1"/>
    <col min="14090" max="14090" width="15.1796875" style="1" bestFit="1" customWidth="1"/>
    <col min="14091" max="14336" width="9.1796875" style="1"/>
    <col min="14337" max="14337" width="3.54296875" style="1" bestFit="1" customWidth="1"/>
    <col min="14338" max="14338" width="11.26953125" style="1" bestFit="1" customWidth="1"/>
    <col min="14339" max="14339" width="6.7265625" style="1" customWidth="1"/>
    <col min="14340" max="14340" width="22.26953125" style="1" customWidth="1"/>
    <col min="14341" max="14341" width="11.26953125" style="1" customWidth="1"/>
    <col min="14342" max="14342" width="19.1796875" style="1" customWidth="1"/>
    <col min="14343" max="14343" width="24" style="1" customWidth="1"/>
    <col min="14344" max="14344" width="19" style="1" bestFit="1" customWidth="1"/>
    <col min="14345" max="14345" width="9" style="1" bestFit="1" customWidth="1"/>
    <col min="14346" max="14346" width="15.1796875" style="1" bestFit="1" customWidth="1"/>
    <col min="14347" max="14592" width="9.1796875" style="1"/>
    <col min="14593" max="14593" width="3.54296875" style="1" bestFit="1" customWidth="1"/>
    <col min="14594" max="14594" width="11.26953125" style="1" bestFit="1" customWidth="1"/>
    <col min="14595" max="14595" width="6.7265625" style="1" customWidth="1"/>
    <col min="14596" max="14596" width="22.26953125" style="1" customWidth="1"/>
    <col min="14597" max="14597" width="11.26953125" style="1" customWidth="1"/>
    <col min="14598" max="14598" width="19.1796875" style="1" customWidth="1"/>
    <col min="14599" max="14599" width="24" style="1" customWidth="1"/>
    <col min="14600" max="14600" width="19" style="1" bestFit="1" customWidth="1"/>
    <col min="14601" max="14601" width="9" style="1" bestFit="1" customWidth="1"/>
    <col min="14602" max="14602" width="15.1796875" style="1" bestFit="1" customWidth="1"/>
    <col min="14603" max="14848" width="9.1796875" style="1"/>
    <col min="14849" max="14849" width="3.54296875" style="1" bestFit="1" customWidth="1"/>
    <col min="14850" max="14850" width="11.26953125" style="1" bestFit="1" customWidth="1"/>
    <col min="14851" max="14851" width="6.7265625" style="1" customWidth="1"/>
    <col min="14852" max="14852" width="22.26953125" style="1" customWidth="1"/>
    <col min="14853" max="14853" width="11.26953125" style="1" customWidth="1"/>
    <col min="14854" max="14854" width="19.1796875" style="1" customWidth="1"/>
    <col min="14855" max="14855" width="24" style="1" customWidth="1"/>
    <col min="14856" max="14856" width="19" style="1" bestFit="1" customWidth="1"/>
    <col min="14857" max="14857" width="9" style="1" bestFit="1" customWidth="1"/>
    <col min="14858" max="14858" width="15.1796875" style="1" bestFit="1" customWidth="1"/>
    <col min="14859" max="15104" width="9.1796875" style="1"/>
    <col min="15105" max="15105" width="3.54296875" style="1" bestFit="1" customWidth="1"/>
    <col min="15106" max="15106" width="11.26953125" style="1" bestFit="1" customWidth="1"/>
    <col min="15107" max="15107" width="6.7265625" style="1" customWidth="1"/>
    <col min="15108" max="15108" width="22.26953125" style="1" customWidth="1"/>
    <col min="15109" max="15109" width="11.26953125" style="1" customWidth="1"/>
    <col min="15110" max="15110" width="19.1796875" style="1" customWidth="1"/>
    <col min="15111" max="15111" width="24" style="1" customWidth="1"/>
    <col min="15112" max="15112" width="19" style="1" bestFit="1" customWidth="1"/>
    <col min="15113" max="15113" width="9" style="1" bestFit="1" customWidth="1"/>
    <col min="15114" max="15114" width="15.1796875" style="1" bestFit="1" customWidth="1"/>
    <col min="15115" max="15360" width="9.1796875" style="1"/>
    <col min="15361" max="15361" width="3.54296875" style="1" bestFit="1" customWidth="1"/>
    <col min="15362" max="15362" width="11.26953125" style="1" bestFit="1" customWidth="1"/>
    <col min="15363" max="15363" width="6.7265625" style="1" customWidth="1"/>
    <col min="15364" max="15364" width="22.26953125" style="1" customWidth="1"/>
    <col min="15365" max="15365" width="11.26953125" style="1" customWidth="1"/>
    <col min="15366" max="15366" width="19.1796875" style="1" customWidth="1"/>
    <col min="15367" max="15367" width="24" style="1" customWidth="1"/>
    <col min="15368" max="15368" width="19" style="1" bestFit="1" customWidth="1"/>
    <col min="15369" max="15369" width="9" style="1" bestFit="1" customWidth="1"/>
    <col min="15370" max="15370" width="15.1796875" style="1" bestFit="1" customWidth="1"/>
    <col min="15371" max="15616" width="9.1796875" style="1"/>
    <col min="15617" max="15617" width="3.54296875" style="1" bestFit="1" customWidth="1"/>
    <col min="15618" max="15618" width="11.26953125" style="1" bestFit="1" customWidth="1"/>
    <col min="15619" max="15619" width="6.7265625" style="1" customWidth="1"/>
    <col min="15620" max="15620" width="22.26953125" style="1" customWidth="1"/>
    <col min="15621" max="15621" width="11.26953125" style="1" customWidth="1"/>
    <col min="15622" max="15622" width="19.1796875" style="1" customWidth="1"/>
    <col min="15623" max="15623" width="24" style="1" customWidth="1"/>
    <col min="15624" max="15624" width="19" style="1" bestFit="1" customWidth="1"/>
    <col min="15625" max="15625" width="9" style="1" bestFit="1" customWidth="1"/>
    <col min="15626" max="15626" width="15.1796875" style="1" bestFit="1" customWidth="1"/>
    <col min="15627" max="15872" width="9.1796875" style="1"/>
    <col min="15873" max="15873" width="3.54296875" style="1" bestFit="1" customWidth="1"/>
    <col min="15874" max="15874" width="11.26953125" style="1" bestFit="1" customWidth="1"/>
    <col min="15875" max="15875" width="6.7265625" style="1" customWidth="1"/>
    <col min="15876" max="15876" width="22.26953125" style="1" customWidth="1"/>
    <col min="15877" max="15877" width="11.26953125" style="1" customWidth="1"/>
    <col min="15878" max="15878" width="19.1796875" style="1" customWidth="1"/>
    <col min="15879" max="15879" width="24" style="1" customWidth="1"/>
    <col min="15880" max="15880" width="19" style="1" bestFit="1" customWidth="1"/>
    <col min="15881" max="15881" width="9" style="1" bestFit="1" customWidth="1"/>
    <col min="15882" max="15882" width="15.1796875" style="1" bestFit="1" customWidth="1"/>
    <col min="15883" max="16128" width="9.1796875" style="1"/>
    <col min="16129" max="16129" width="3.54296875" style="1" bestFit="1" customWidth="1"/>
    <col min="16130" max="16130" width="11.26953125" style="1" bestFit="1" customWidth="1"/>
    <col min="16131" max="16131" width="6.7265625" style="1" customWidth="1"/>
    <col min="16132" max="16132" width="22.26953125" style="1" customWidth="1"/>
    <col min="16133" max="16133" width="11.26953125" style="1" customWidth="1"/>
    <col min="16134" max="16134" width="19.1796875" style="1" customWidth="1"/>
    <col min="16135" max="16135" width="24" style="1" customWidth="1"/>
    <col min="16136" max="16136" width="19" style="1" bestFit="1" customWidth="1"/>
    <col min="16137" max="16137" width="9" style="1" bestFit="1" customWidth="1"/>
    <col min="16138" max="16138" width="15.1796875" style="1" bestFit="1" customWidth="1"/>
    <col min="16139" max="16384" width="9.1796875" style="1"/>
  </cols>
  <sheetData>
    <row r="1" spans="1:11" ht="21" x14ac:dyDescent="0.35">
      <c r="A1" s="4" t="s">
        <v>176</v>
      </c>
      <c r="B1" s="5"/>
      <c r="C1" s="5"/>
      <c r="D1" s="1"/>
      <c r="E1" s="5"/>
      <c r="F1" s="7"/>
      <c r="G1" s="6"/>
      <c r="H1" s="1"/>
    </row>
    <row r="2" spans="1:11" s="10" customFormat="1" ht="21" customHeight="1" x14ac:dyDescent="0.35">
      <c r="A2" s="8" t="s">
        <v>1</v>
      </c>
      <c r="B2" s="8" t="s">
        <v>0</v>
      </c>
      <c r="C2" s="8" t="s">
        <v>2</v>
      </c>
      <c r="D2" s="8" t="s">
        <v>3</v>
      </c>
      <c r="E2" s="8" t="s">
        <v>4</v>
      </c>
      <c r="F2" s="9" t="s">
        <v>81</v>
      </c>
      <c r="G2" s="8" t="s">
        <v>5</v>
      </c>
      <c r="H2" s="8" t="s">
        <v>105</v>
      </c>
      <c r="J2" s="9" t="s">
        <v>108</v>
      </c>
      <c r="K2" s="9" t="s">
        <v>109</v>
      </c>
    </row>
    <row r="3" spans="1:11" x14ac:dyDescent="0.35">
      <c r="A3" s="2">
        <v>1</v>
      </c>
      <c r="B3" s="2" t="s">
        <v>6</v>
      </c>
      <c r="C3" s="2">
        <v>105</v>
      </c>
      <c r="D3" s="3" t="s">
        <v>11</v>
      </c>
      <c r="E3" s="11">
        <v>42339</v>
      </c>
      <c r="F3" s="2" t="str">
        <f ca="1">DATEDIF(E3,TODAY(),"Y")&amp; " THN "&amp;DATEDIF(E3,TODAY(),"YM")&amp;" BLN"</f>
        <v>10 THN 8 BLN</v>
      </c>
      <c r="G3" s="3" t="s">
        <v>121</v>
      </c>
      <c r="H3" s="2" t="s">
        <v>106</v>
      </c>
      <c r="I3" s="19"/>
      <c r="J3" s="11">
        <v>31567</v>
      </c>
      <c r="K3" s="2" t="str">
        <f ca="1">DATEDIF(J3,TODAY(),"Y")&amp; " THN "&amp;DATEDIF(J3,TODAY(),"YM")&amp;" BLN"</f>
        <v>40 THN 2 BLN</v>
      </c>
    </row>
    <row r="4" spans="1:11" x14ac:dyDescent="0.35">
      <c r="A4" s="2">
        <v>2</v>
      </c>
      <c r="B4" s="2" t="s">
        <v>6</v>
      </c>
      <c r="C4" s="2">
        <v>65</v>
      </c>
      <c r="D4" s="3" t="s">
        <v>7</v>
      </c>
      <c r="E4" s="11">
        <v>42044</v>
      </c>
      <c r="F4" s="2" t="str">
        <f ca="1">DATEDIF(E4,TODAY(),"Y")&amp; " THN "&amp;DATEDIF(E4,TODAY(),"YM")&amp;" BLN"</f>
        <v>11 THN 6 BLN</v>
      </c>
      <c r="G4" s="3" t="s">
        <v>9</v>
      </c>
      <c r="H4" s="2" t="s">
        <v>106</v>
      </c>
      <c r="I4" s="19"/>
      <c r="J4" s="11">
        <v>35212</v>
      </c>
      <c r="K4" s="2" t="str">
        <f ca="1">DATEDIF(J4,TODAY(),"Y")&amp; " THN "&amp;DATEDIF(J4,TODAY(),"YM")&amp;" BLN"</f>
        <v>30 THN 3 BLN</v>
      </c>
    </row>
    <row r="5" spans="1:11" x14ac:dyDescent="0.35">
      <c r="A5" s="2">
        <v>3</v>
      </c>
      <c r="B5" s="2" t="s">
        <v>6</v>
      </c>
      <c r="C5" s="2">
        <v>146</v>
      </c>
      <c r="D5" s="3" t="s">
        <v>10</v>
      </c>
      <c r="E5" s="11">
        <v>42675</v>
      </c>
      <c r="F5" s="2" t="str">
        <f t="shared" ref="F5:F82" ca="1" si="0">DATEDIF(E5,TODAY(),"Y")&amp; " THN "&amp;DATEDIF(E5,TODAY(),"YM")&amp;" BLN"</f>
        <v>9 THN 9 BLN</v>
      </c>
      <c r="G5" s="3" t="s">
        <v>149</v>
      </c>
      <c r="H5" s="2" t="s">
        <v>106</v>
      </c>
      <c r="I5" s="19"/>
      <c r="J5" s="11">
        <v>35818</v>
      </c>
      <c r="K5" s="2" t="str">
        <f t="shared" ref="K5:K82" ca="1" si="1">DATEDIF(J5,TODAY(),"Y")&amp; " THN "&amp;DATEDIF(J5,TODAY(),"YM")&amp;" BLN"</f>
        <v>28 THN 7 BLN</v>
      </c>
    </row>
    <row r="6" spans="1:11" x14ac:dyDescent="0.35">
      <c r="A6" s="2">
        <v>4</v>
      </c>
      <c r="B6" s="2" t="s">
        <v>6</v>
      </c>
      <c r="C6" s="2">
        <v>182</v>
      </c>
      <c r="D6" s="3" t="s">
        <v>14</v>
      </c>
      <c r="E6" s="11">
        <v>42807</v>
      </c>
      <c r="F6" s="2" t="str">
        <f t="shared" ref="F6:F21" ca="1" si="2">DATEDIF(E6,TODAY(),"Y")&amp; " THN "&amp;DATEDIF(E6,TODAY(),"YM")&amp;" BLN"</f>
        <v>9 THN 5 BLN</v>
      </c>
      <c r="G6" s="3" t="s">
        <v>150</v>
      </c>
      <c r="H6" s="2" t="s">
        <v>106</v>
      </c>
      <c r="I6" s="19"/>
      <c r="J6" s="11">
        <v>32276</v>
      </c>
      <c r="K6" s="2" t="str">
        <f t="shared" ref="K6:K21" ca="1" si="3">DATEDIF(J6,TODAY(),"Y")&amp; " THN "&amp;DATEDIF(J6,TODAY(),"YM")&amp;" BLN"</f>
        <v>38 THN 3 BLN</v>
      </c>
    </row>
    <row r="7" spans="1:11" x14ac:dyDescent="0.35">
      <c r="A7" s="2">
        <v>5</v>
      </c>
      <c r="B7" s="2" t="s">
        <v>6</v>
      </c>
      <c r="C7" s="2">
        <v>332</v>
      </c>
      <c r="D7" s="3" t="s">
        <v>97</v>
      </c>
      <c r="E7" s="11">
        <v>43703</v>
      </c>
      <c r="F7" s="2" t="str">
        <f t="shared" ca="1" si="2"/>
        <v>7 THN 0 BLN</v>
      </c>
      <c r="G7" s="3" t="s">
        <v>177</v>
      </c>
      <c r="H7" s="2" t="s">
        <v>107</v>
      </c>
      <c r="I7" s="19"/>
      <c r="J7" s="11">
        <v>31587</v>
      </c>
      <c r="K7" s="2" t="str">
        <f t="shared" ca="1" si="3"/>
        <v>40 THN 2 BLN</v>
      </c>
    </row>
    <row r="8" spans="1:11" x14ac:dyDescent="0.35">
      <c r="A8" s="2">
        <v>6</v>
      </c>
      <c r="B8" s="2" t="s">
        <v>6</v>
      </c>
      <c r="C8" s="2">
        <v>250</v>
      </c>
      <c r="D8" s="3" t="s">
        <v>59</v>
      </c>
      <c r="E8" s="11">
        <v>43339</v>
      </c>
      <c r="F8" s="2" t="str">
        <f t="shared" ca="1" si="2"/>
        <v>8 THN 0 BLN</v>
      </c>
      <c r="G8" s="3" t="s">
        <v>13</v>
      </c>
      <c r="H8" s="2" t="s">
        <v>107</v>
      </c>
      <c r="I8" s="19"/>
      <c r="J8" s="11">
        <v>34260</v>
      </c>
      <c r="K8" s="2" t="str">
        <f t="shared" ca="1" si="3"/>
        <v>32 THN 10 BLN</v>
      </c>
    </row>
    <row r="9" spans="1:11" x14ac:dyDescent="0.35">
      <c r="A9" s="2">
        <v>7</v>
      </c>
      <c r="B9" s="2" t="s">
        <v>6</v>
      </c>
      <c r="C9" s="2">
        <v>364</v>
      </c>
      <c r="D9" s="3" t="s">
        <v>148</v>
      </c>
      <c r="E9" s="11">
        <v>44061</v>
      </c>
      <c r="F9" s="2" t="str">
        <f t="shared" ca="1" si="2"/>
        <v>6 THN 0 BLN</v>
      </c>
      <c r="G9" s="3" t="s">
        <v>13</v>
      </c>
      <c r="H9" s="2" t="s">
        <v>107</v>
      </c>
      <c r="I9" s="19"/>
      <c r="J9" s="11">
        <v>31896</v>
      </c>
      <c r="K9" s="2" t="str">
        <f t="shared" ca="1" si="3"/>
        <v>39 THN 4 BLN</v>
      </c>
    </row>
    <row r="10" spans="1:11" x14ac:dyDescent="0.35">
      <c r="A10" s="2">
        <v>8</v>
      </c>
      <c r="B10" s="2" t="s">
        <v>6</v>
      </c>
      <c r="C10" s="2">
        <v>357</v>
      </c>
      <c r="D10" s="3" t="s">
        <v>146</v>
      </c>
      <c r="E10" s="11">
        <v>44020</v>
      </c>
      <c r="F10" s="2" t="str">
        <f t="shared" ca="1" si="2"/>
        <v>6 THN 1 BLN</v>
      </c>
      <c r="G10" s="3" t="s">
        <v>182</v>
      </c>
      <c r="H10" s="2"/>
      <c r="I10" s="19"/>
      <c r="J10" s="11">
        <v>34380</v>
      </c>
      <c r="K10" s="2" t="str">
        <f t="shared" ca="1" si="3"/>
        <v>32 THN 6 BLN</v>
      </c>
    </row>
    <row r="11" spans="1:11" x14ac:dyDescent="0.35">
      <c r="A11" s="2">
        <v>9</v>
      </c>
      <c r="B11" s="2" t="s">
        <v>6</v>
      </c>
      <c r="C11" s="2">
        <v>62</v>
      </c>
      <c r="D11" s="3" t="s">
        <v>23</v>
      </c>
      <c r="E11" s="11">
        <v>42016</v>
      </c>
      <c r="F11" s="2" t="str">
        <f t="shared" ca="1" si="2"/>
        <v>11 THN 7 BLN</v>
      </c>
      <c r="G11" s="3" t="s">
        <v>99</v>
      </c>
      <c r="H11" s="2" t="s">
        <v>106</v>
      </c>
      <c r="I11" s="19"/>
      <c r="J11" s="11">
        <v>34858</v>
      </c>
      <c r="K11" s="2" t="str">
        <f t="shared" ca="1" si="3"/>
        <v>31 THN 2 BLN</v>
      </c>
    </row>
    <row r="12" spans="1:11" x14ac:dyDescent="0.35">
      <c r="A12" s="2">
        <v>10</v>
      </c>
      <c r="B12" s="2" t="s">
        <v>6</v>
      </c>
      <c r="C12" s="2">
        <v>128</v>
      </c>
      <c r="D12" s="3" t="s">
        <v>24</v>
      </c>
      <c r="E12" s="11">
        <v>42492</v>
      </c>
      <c r="F12" s="2" t="str">
        <f t="shared" ca="1" si="2"/>
        <v>10 THN 3 BLN</v>
      </c>
      <c r="G12" s="3" t="s">
        <v>180</v>
      </c>
      <c r="H12" s="2" t="s">
        <v>106</v>
      </c>
      <c r="I12" s="19"/>
      <c r="J12" s="11">
        <v>33336</v>
      </c>
      <c r="K12" s="2" t="str">
        <f t="shared" ca="1" si="3"/>
        <v>35 THN 4 BLN</v>
      </c>
    </row>
    <row r="13" spans="1:11" x14ac:dyDescent="0.35">
      <c r="A13" s="2">
        <v>11</v>
      </c>
      <c r="B13" s="2" t="s">
        <v>6</v>
      </c>
      <c r="C13" s="2">
        <v>356</v>
      </c>
      <c r="D13" s="3" t="s">
        <v>114</v>
      </c>
      <c r="E13" s="11">
        <v>44013</v>
      </c>
      <c r="F13" s="2" t="str">
        <f t="shared" ca="1" si="2"/>
        <v>6 THN 1 BLN</v>
      </c>
      <c r="G13" s="3" t="s">
        <v>180</v>
      </c>
      <c r="H13" s="2"/>
      <c r="I13" s="19"/>
      <c r="J13" s="11">
        <v>33216</v>
      </c>
      <c r="K13" s="2" t="str">
        <f t="shared" ca="1" si="3"/>
        <v>35 THN 8 BLN</v>
      </c>
    </row>
    <row r="14" spans="1:11" x14ac:dyDescent="0.35">
      <c r="A14" s="2">
        <v>12</v>
      </c>
      <c r="B14" s="2" t="s">
        <v>6</v>
      </c>
      <c r="C14" s="2">
        <v>7</v>
      </c>
      <c r="D14" s="3" t="s">
        <v>21</v>
      </c>
      <c r="E14" s="11">
        <v>41276</v>
      </c>
      <c r="F14" s="2" t="str">
        <f t="shared" ca="1" si="2"/>
        <v>13 THN 7 BLN</v>
      </c>
      <c r="G14" s="3" t="s">
        <v>179</v>
      </c>
      <c r="H14" s="2" t="s">
        <v>106</v>
      </c>
      <c r="I14" s="19"/>
      <c r="J14" s="11">
        <v>32084</v>
      </c>
      <c r="K14" s="2" t="str">
        <f t="shared" ca="1" si="3"/>
        <v>38 THN 9 BLN</v>
      </c>
    </row>
    <row r="15" spans="1:11" x14ac:dyDescent="0.35">
      <c r="A15" s="2">
        <v>13</v>
      </c>
      <c r="B15" s="2" t="s">
        <v>6</v>
      </c>
      <c r="C15" s="2">
        <v>123</v>
      </c>
      <c r="D15" s="3" t="s">
        <v>17</v>
      </c>
      <c r="E15" s="11">
        <v>42436</v>
      </c>
      <c r="F15" s="2" t="str">
        <f t="shared" ca="1" si="2"/>
        <v>10 THN 5 BLN</v>
      </c>
      <c r="G15" s="3" t="s">
        <v>178</v>
      </c>
      <c r="H15" s="2" t="s">
        <v>106</v>
      </c>
      <c r="I15" s="19"/>
      <c r="J15" s="11">
        <v>34314</v>
      </c>
      <c r="K15" s="2" t="str">
        <f t="shared" ca="1" si="3"/>
        <v>32 THN 8 BLN</v>
      </c>
    </row>
    <row r="16" spans="1:11" x14ac:dyDescent="0.35">
      <c r="A16" s="2">
        <v>14</v>
      </c>
      <c r="B16" s="2" t="s">
        <v>6</v>
      </c>
      <c r="C16" s="2">
        <v>125</v>
      </c>
      <c r="D16" s="3" t="s">
        <v>26</v>
      </c>
      <c r="E16" s="11">
        <v>42462</v>
      </c>
      <c r="F16" s="2" t="str">
        <f t="shared" ca="1" si="2"/>
        <v>10 THN 4 BLN</v>
      </c>
      <c r="G16" s="3" t="s">
        <v>181</v>
      </c>
      <c r="H16" s="2" t="s">
        <v>107</v>
      </c>
      <c r="I16" s="19"/>
      <c r="J16" s="11">
        <v>29989</v>
      </c>
      <c r="K16" s="2" t="str">
        <f t="shared" ca="1" si="3"/>
        <v>44 THN 6 BLN</v>
      </c>
    </row>
    <row r="17" spans="1:12" x14ac:dyDescent="0.35">
      <c r="A17" s="2">
        <v>15</v>
      </c>
      <c r="B17" s="2" t="s">
        <v>6</v>
      </c>
      <c r="C17" s="2">
        <v>124</v>
      </c>
      <c r="D17" s="3" t="s">
        <v>49</v>
      </c>
      <c r="E17" s="11">
        <v>42462</v>
      </c>
      <c r="F17" s="2" t="str">
        <f t="shared" ca="1" si="2"/>
        <v>10 THN 4 BLN</v>
      </c>
      <c r="G17" s="3" t="s">
        <v>36</v>
      </c>
      <c r="H17" s="2" t="s">
        <v>107</v>
      </c>
      <c r="I17" s="19"/>
      <c r="J17" s="11">
        <v>34799</v>
      </c>
      <c r="K17" s="2" t="str">
        <f t="shared" ca="1" si="3"/>
        <v>31 THN 4 BLN</v>
      </c>
    </row>
    <row r="18" spans="1:12" x14ac:dyDescent="0.35">
      <c r="A18" s="2">
        <v>16</v>
      </c>
      <c r="B18" s="2" t="s">
        <v>6</v>
      </c>
      <c r="C18" s="2">
        <v>212</v>
      </c>
      <c r="D18" s="3" t="s">
        <v>70</v>
      </c>
      <c r="E18" s="11">
        <v>43136</v>
      </c>
      <c r="F18" s="2" t="str">
        <f t="shared" ca="1" si="2"/>
        <v>8 THN 6 BLN</v>
      </c>
      <c r="G18" s="3" t="s">
        <v>36</v>
      </c>
      <c r="H18" s="2" t="s">
        <v>107</v>
      </c>
      <c r="I18" s="19"/>
      <c r="J18" s="11">
        <v>33530</v>
      </c>
      <c r="K18" s="2" t="str">
        <f t="shared" ca="1" si="3"/>
        <v>34 THN 10 BLN</v>
      </c>
      <c r="L18" s="1" t="s">
        <v>188</v>
      </c>
    </row>
    <row r="19" spans="1:12" x14ac:dyDescent="0.35">
      <c r="A19" s="2">
        <v>17</v>
      </c>
      <c r="B19" s="2" t="s">
        <v>6</v>
      </c>
      <c r="C19" s="2">
        <v>25</v>
      </c>
      <c r="D19" s="3" t="s">
        <v>35</v>
      </c>
      <c r="E19" s="11">
        <v>38544</v>
      </c>
      <c r="F19" s="2" t="str">
        <f t="shared" ca="1" si="2"/>
        <v>21 THN 1 BLN</v>
      </c>
      <c r="G19" s="3" t="s">
        <v>185</v>
      </c>
      <c r="H19" s="2" t="s">
        <v>106</v>
      </c>
      <c r="I19" s="19"/>
      <c r="J19" s="11">
        <v>32686</v>
      </c>
      <c r="K19" s="2" t="str">
        <f t="shared" ca="1" si="3"/>
        <v>37 THN 2 BLN</v>
      </c>
    </row>
    <row r="20" spans="1:12" x14ac:dyDescent="0.35">
      <c r="A20" s="2">
        <v>18</v>
      </c>
      <c r="B20" s="2" t="s">
        <v>6</v>
      </c>
      <c r="C20" s="2">
        <v>387</v>
      </c>
      <c r="D20" s="3" t="s">
        <v>183</v>
      </c>
      <c r="E20" s="11">
        <v>44172</v>
      </c>
      <c r="F20" s="2" t="str">
        <f t="shared" ca="1" si="2"/>
        <v>5 THN 8 BLN</v>
      </c>
      <c r="G20" s="3" t="s">
        <v>87</v>
      </c>
      <c r="H20" s="2"/>
      <c r="I20" s="19"/>
      <c r="J20" s="11">
        <v>30634</v>
      </c>
      <c r="K20" s="2" t="str">
        <f t="shared" ca="1" si="3"/>
        <v>42 THN 9 BLN</v>
      </c>
    </row>
    <row r="21" spans="1:12" x14ac:dyDescent="0.35">
      <c r="A21" s="2">
        <v>19</v>
      </c>
      <c r="B21" s="2" t="s">
        <v>6</v>
      </c>
      <c r="C21" s="2">
        <v>273</v>
      </c>
      <c r="D21" s="3" t="s">
        <v>89</v>
      </c>
      <c r="E21" s="11">
        <v>43452</v>
      </c>
      <c r="F21" s="2" t="str">
        <f t="shared" ca="1" si="2"/>
        <v>7 THN 8 BLN</v>
      </c>
      <c r="G21" s="3" t="s">
        <v>184</v>
      </c>
      <c r="H21" s="2" t="s">
        <v>106</v>
      </c>
      <c r="I21" s="19"/>
      <c r="J21" s="11">
        <v>33273</v>
      </c>
      <c r="K21" s="2" t="str">
        <f t="shared" ca="1" si="3"/>
        <v>35 THN 6 BLN</v>
      </c>
    </row>
    <row r="22" spans="1:12" x14ac:dyDescent="0.35">
      <c r="A22" s="2">
        <v>20</v>
      </c>
      <c r="B22" s="2" t="s">
        <v>16</v>
      </c>
      <c r="C22" s="2">
        <v>12</v>
      </c>
      <c r="D22" s="3" t="s">
        <v>19</v>
      </c>
      <c r="E22" s="11">
        <v>41288</v>
      </c>
      <c r="F22" s="2" t="str">
        <f t="shared" ca="1" si="0"/>
        <v>13 THN 7 BLN</v>
      </c>
      <c r="G22" s="3" t="s">
        <v>122</v>
      </c>
      <c r="H22" s="2" t="s">
        <v>107</v>
      </c>
      <c r="I22" s="19"/>
      <c r="J22" s="11">
        <v>30153</v>
      </c>
      <c r="K22" s="2" t="str">
        <f t="shared" ca="1" si="1"/>
        <v>44 THN 1 BLN</v>
      </c>
    </row>
    <row r="23" spans="1:12" x14ac:dyDescent="0.35">
      <c r="A23" s="2">
        <v>21</v>
      </c>
      <c r="B23" s="2" t="s">
        <v>16</v>
      </c>
      <c r="C23" s="2">
        <v>354</v>
      </c>
      <c r="D23" s="3" t="s">
        <v>113</v>
      </c>
      <c r="E23" s="11">
        <v>43910</v>
      </c>
      <c r="F23" s="2" t="str">
        <f t="shared" ca="1" si="0"/>
        <v>6 THN 5 BLN</v>
      </c>
      <c r="G23" s="3" t="s">
        <v>122</v>
      </c>
      <c r="H23" s="2" t="s">
        <v>107</v>
      </c>
      <c r="I23" s="19"/>
      <c r="J23" s="11">
        <v>33490</v>
      </c>
      <c r="K23" s="2" t="str">
        <f t="shared" ca="1" si="1"/>
        <v>34 THN 11 BLN</v>
      </c>
    </row>
    <row r="24" spans="1:12" x14ac:dyDescent="0.35">
      <c r="A24" s="2">
        <v>22</v>
      </c>
      <c r="B24" s="2" t="s">
        <v>16</v>
      </c>
      <c r="C24" s="2">
        <v>381</v>
      </c>
      <c r="D24" s="3" t="s">
        <v>186</v>
      </c>
      <c r="E24" s="11">
        <v>44184</v>
      </c>
      <c r="F24" s="2" t="str">
        <f ca="1">DATEDIF(E24,TODAY(),"Y")&amp; " THN "&amp;DATEDIF(E24,TODAY(),"YM")&amp;" BLN"</f>
        <v>5 THN 8 BLN</v>
      </c>
      <c r="G24" s="3" t="s">
        <v>123</v>
      </c>
      <c r="H24" s="2"/>
      <c r="I24" s="19"/>
      <c r="J24" s="11">
        <v>34742</v>
      </c>
      <c r="K24" s="2" t="str">
        <f t="shared" ca="1" si="1"/>
        <v>31 THN 6 BLN</v>
      </c>
    </row>
    <row r="25" spans="1:12" x14ac:dyDescent="0.35">
      <c r="A25" s="2">
        <v>14</v>
      </c>
      <c r="B25" s="2" t="s">
        <v>82</v>
      </c>
      <c r="C25" s="2">
        <v>5</v>
      </c>
      <c r="D25" s="3" t="s">
        <v>22</v>
      </c>
      <c r="E25" s="11">
        <v>38568</v>
      </c>
      <c r="F25" s="2" t="str">
        <f t="shared" ca="1" si="0"/>
        <v>21 THN 0 BLN</v>
      </c>
      <c r="G25" s="3" t="s">
        <v>98</v>
      </c>
      <c r="H25" s="2" t="s">
        <v>107</v>
      </c>
      <c r="I25" s="19"/>
      <c r="J25" s="11">
        <v>26169</v>
      </c>
      <c r="K25" s="2" t="str">
        <f t="shared" ca="1" si="1"/>
        <v>55 THN 0 BLN</v>
      </c>
    </row>
    <row r="26" spans="1:12" x14ac:dyDescent="0.35">
      <c r="A26" s="2">
        <v>18</v>
      </c>
      <c r="B26" s="2" t="s">
        <v>25</v>
      </c>
      <c r="C26" s="21">
        <v>2</v>
      </c>
      <c r="D26" s="3" t="s">
        <v>27</v>
      </c>
      <c r="E26" s="11">
        <v>35841</v>
      </c>
      <c r="F26" s="2" t="str">
        <f ca="1">DATEDIF(E26,TODAY(),"Y")&amp; " THN "&amp;DATEDIF(E26,TODAY(),"YM")&amp;" BLN"</f>
        <v>28 THN 6 BLN</v>
      </c>
      <c r="G26" s="3" t="s">
        <v>28</v>
      </c>
      <c r="H26" s="2" t="s">
        <v>107</v>
      </c>
      <c r="I26" s="19"/>
      <c r="J26" s="11">
        <v>23721</v>
      </c>
      <c r="K26" s="2" t="str">
        <f t="shared" ca="1" si="1"/>
        <v>61 THN 8 BLN</v>
      </c>
    </row>
    <row r="27" spans="1:12" x14ac:dyDescent="0.35">
      <c r="A27" s="2">
        <v>19</v>
      </c>
      <c r="B27" s="2" t="s">
        <v>25</v>
      </c>
      <c r="C27" s="2">
        <v>4</v>
      </c>
      <c r="D27" s="3" t="s">
        <v>29</v>
      </c>
      <c r="E27" s="11">
        <v>38458</v>
      </c>
      <c r="F27" s="2" t="str">
        <f t="shared" ca="1" si="0"/>
        <v>21 THN 4 BLN</v>
      </c>
      <c r="G27" s="3" t="s">
        <v>30</v>
      </c>
      <c r="H27" s="2" t="s">
        <v>107</v>
      </c>
      <c r="I27" s="19"/>
      <c r="J27" s="11">
        <v>30050</v>
      </c>
      <c r="K27" s="2" t="str">
        <f t="shared" ca="1" si="1"/>
        <v>44 THN 4 BLN</v>
      </c>
    </row>
    <row r="28" spans="1:12" x14ac:dyDescent="0.35">
      <c r="A28" s="2">
        <v>20</v>
      </c>
      <c r="B28" s="2" t="s">
        <v>25</v>
      </c>
      <c r="C28" s="2">
        <v>18</v>
      </c>
      <c r="D28" s="3" t="s">
        <v>31</v>
      </c>
      <c r="E28" s="11">
        <v>38605</v>
      </c>
      <c r="F28" s="2" t="str">
        <f t="shared" ca="1" si="0"/>
        <v>20 THN 11 BLN</v>
      </c>
      <c r="G28" s="3" t="s">
        <v>125</v>
      </c>
      <c r="H28" s="2" t="s">
        <v>107</v>
      </c>
      <c r="I28" s="19"/>
      <c r="J28" s="11">
        <v>30630</v>
      </c>
      <c r="K28" s="2" t="str">
        <f t="shared" ca="1" si="1"/>
        <v>42 THN 9 BLN</v>
      </c>
    </row>
    <row r="29" spans="1:12" x14ac:dyDescent="0.35">
      <c r="A29" s="2">
        <v>21</v>
      </c>
      <c r="B29" s="2" t="s">
        <v>25</v>
      </c>
      <c r="C29" s="2">
        <v>283</v>
      </c>
      <c r="D29" s="3" t="s">
        <v>83</v>
      </c>
      <c r="E29" s="11">
        <v>43493</v>
      </c>
      <c r="F29" s="2" t="str">
        <f t="shared" ca="1" si="0"/>
        <v>7 THN 7 BLN</v>
      </c>
      <c r="G29" s="3" t="s">
        <v>125</v>
      </c>
      <c r="H29" s="2" t="s">
        <v>107</v>
      </c>
      <c r="I29" s="19"/>
      <c r="J29" s="11">
        <v>34000</v>
      </c>
      <c r="K29" s="2" t="str">
        <f t="shared" ca="1" si="1"/>
        <v>33 THN 6 BLN</v>
      </c>
    </row>
    <row r="30" spans="1:12" x14ac:dyDescent="0.35">
      <c r="A30" s="2">
        <v>22</v>
      </c>
      <c r="B30" s="2" t="s">
        <v>25</v>
      </c>
      <c r="C30" s="2">
        <v>11</v>
      </c>
      <c r="D30" s="3" t="s">
        <v>32</v>
      </c>
      <c r="E30" s="11">
        <v>41918</v>
      </c>
      <c r="F30" s="2" t="str">
        <f t="shared" ca="1" si="0"/>
        <v>11 THN 10 BLN</v>
      </c>
      <c r="G30" s="15" t="s">
        <v>151</v>
      </c>
      <c r="H30" s="2" t="s">
        <v>107</v>
      </c>
      <c r="I30" s="19"/>
      <c r="J30" s="11">
        <v>31373</v>
      </c>
      <c r="K30" s="2" t="str">
        <f t="shared" ca="1" si="1"/>
        <v>40 THN 9 BLN</v>
      </c>
    </row>
    <row r="31" spans="1:12" x14ac:dyDescent="0.35">
      <c r="A31" s="2">
        <v>26</v>
      </c>
      <c r="B31" s="2" t="s">
        <v>25</v>
      </c>
      <c r="C31" s="12">
        <v>322</v>
      </c>
      <c r="D31" s="13" t="s">
        <v>84</v>
      </c>
      <c r="E31" s="14">
        <v>43658</v>
      </c>
      <c r="F31" s="2" t="str">
        <f ca="1">DATEDIF(E31,TODAY(),"Y")&amp; " THN "&amp;DATEDIF(E31,TODAY(),"YM")&amp;" BLN"</f>
        <v>7 THN 1 BLN</v>
      </c>
      <c r="G31" s="15" t="s">
        <v>151</v>
      </c>
      <c r="H31" s="2"/>
      <c r="J31" s="11">
        <v>36884</v>
      </c>
      <c r="K31" s="2" t="str">
        <f ca="1">DATEDIF(J31,TODAY(),"Y")&amp; " THN "&amp;DATEDIF(J31,TODAY(),"YM")&amp;" BLN"</f>
        <v>25 THN 8 BLN</v>
      </c>
    </row>
    <row r="32" spans="1:12" x14ac:dyDescent="0.35">
      <c r="A32" s="2">
        <v>23</v>
      </c>
      <c r="B32" s="2" t="s">
        <v>25</v>
      </c>
      <c r="C32" s="2">
        <v>371</v>
      </c>
      <c r="D32" s="3" t="s">
        <v>152</v>
      </c>
      <c r="E32" s="11">
        <v>44090</v>
      </c>
      <c r="F32" s="2" t="str">
        <f t="shared" ca="1" si="0"/>
        <v>5 THN 11 BLN</v>
      </c>
      <c r="G32" s="20" t="s">
        <v>154</v>
      </c>
      <c r="H32" s="2"/>
      <c r="I32" s="19"/>
      <c r="J32" s="11">
        <v>32668</v>
      </c>
      <c r="K32" s="2" t="str">
        <f t="shared" ca="1" si="1"/>
        <v>37 THN 2 BLN</v>
      </c>
    </row>
    <row r="33" spans="1:13" x14ac:dyDescent="0.35">
      <c r="A33" s="2"/>
      <c r="B33" s="2" t="s">
        <v>25</v>
      </c>
      <c r="C33" s="12">
        <v>386</v>
      </c>
      <c r="D33" s="3" t="s">
        <v>187</v>
      </c>
      <c r="E33" s="14">
        <v>44165</v>
      </c>
      <c r="F33" s="2" t="str">
        <f t="shared" ca="1" si="0"/>
        <v>5 THN 8 BLN</v>
      </c>
      <c r="G33" s="20" t="s">
        <v>154</v>
      </c>
      <c r="H33" s="2"/>
      <c r="J33" s="11">
        <v>36748</v>
      </c>
      <c r="K33" s="2" t="str">
        <f t="shared" ca="1" si="1"/>
        <v>26 THN 0 BLN</v>
      </c>
    </row>
    <row r="34" spans="1:13" x14ac:dyDescent="0.35">
      <c r="A34" s="2">
        <v>25</v>
      </c>
      <c r="B34" s="2" t="s">
        <v>155</v>
      </c>
      <c r="C34" s="12">
        <v>369</v>
      </c>
      <c r="D34" s="3" t="s">
        <v>156</v>
      </c>
      <c r="E34" s="14">
        <v>44088</v>
      </c>
      <c r="F34" s="2" t="str">
        <f t="shared" ca="1" si="0"/>
        <v>5 THN 11 BLN</v>
      </c>
      <c r="G34" s="13" t="s">
        <v>157</v>
      </c>
      <c r="H34" s="2"/>
      <c r="J34" s="11">
        <v>32605</v>
      </c>
      <c r="K34" s="2" t="str">
        <f t="shared" ca="1" si="1"/>
        <v>37 THN 4 BLN</v>
      </c>
    </row>
    <row r="35" spans="1:13" x14ac:dyDescent="0.35">
      <c r="A35" s="2">
        <v>27</v>
      </c>
      <c r="B35" s="2" t="s">
        <v>155</v>
      </c>
      <c r="C35" s="2">
        <v>372</v>
      </c>
      <c r="D35" s="3" t="s">
        <v>153</v>
      </c>
      <c r="E35" s="11">
        <v>44091</v>
      </c>
      <c r="F35" s="2" t="str">
        <f t="shared" ca="1" si="0"/>
        <v>5 THN 11 BLN</v>
      </c>
      <c r="G35" s="15" t="s">
        <v>159</v>
      </c>
      <c r="H35" s="2"/>
      <c r="I35" s="19"/>
      <c r="J35" s="11">
        <v>37312</v>
      </c>
      <c r="K35" s="2" t="str">
        <f t="shared" ca="1" si="1"/>
        <v>24 THN 6 BLN</v>
      </c>
    </row>
    <row r="36" spans="1:13" x14ac:dyDescent="0.35">
      <c r="A36" s="2">
        <v>28</v>
      </c>
      <c r="B36" s="2" t="s">
        <v>33</v>
      </c>
      <c r="C36" s="12">
        <v>329</v>
      </c>
      <c r="D36" s="13" t="s">
        <v>85</v>
      </c>
      <c r="E36" s="14">
        <v>43701</v>
      </c>
      <c r="F36" s="2" t="str">
        <f t="shared" ca="1" si="0"/>
        <v>7 THN 0 BLN</v>
      </c>
      <c r="G36" s="13" t="s">
        <v>127</v>
      </c>
      <c r="H36" s="2" t="s">
        <v>107</v>
      </c>
      <c r="I36" s="5"/>
      <c r="J36" s="11">
        <v>35392</v>
      </c>
      <c r="K36" s="2" t="str">
        <f t="shared" ca="1" si="1"/>
        <v>29 THN 9 BLN</v>
      </c>
    </row>
    <row r="37" spans="1:13" x14ac:dyDescent="0.35">
      <c r="A37" s="2">
        <v>29</v>
      </c>
      <c r="B37" s="2" t="s">
        <v>33</v>
      </c>
      <c r="C37" s="12">
        <v>348</v>
      </c>
      <c r="D37" s="13" t="s">
        <v>115</v>
      </c>
      <c r="E37" s="14">
        <v>43881</v>
      </c>
      <c r="F37" s="2" t="str">
        <f t="shared" ca="1" si="0"/>
        <v>6 THN 6 BLN</v>
      </c>
      <c r="G37" s="13" t="s">
        <v>127</v>
      </c>
      <c r="H37" s="2"/>
      <c r="I37" s="5"/>
      <c r="J37" s="11">
        <v>35701</v>
      </c>
      <c r="K37" s="2" t="str">
        <f t="shared" ca="1" si="1"/>
        <v>28 THN 11 BLN</v>
      </c>
      <c r="M37" s="1">
        <f>1100/5000</f>
        <v>0.22</v>
      </c>
    </row>
    <row r="38" spans="1:13" x14ac:dyDescent="0.35">
      <c r="A38" s="2">
        <v>32</v>
      </c>
      <c r="B38" s="2" t="s">
        <v>34</v>
      </c>
      <c r="C38" s="2">
        <v>28</v>
      </c>
      <c r="D38" s="3" t="s">
        <v>86</v>
      </c>
      <c r="E38" s="11">
        <v>40551</v>
      </c>
      <c r="F38" s="2" t="str">
        <f t="shared" ca="1" si="0"/>
        <v>15 THN 7 BLN</v>
      </c>
      <c r="G38" s="3" t="s">
        <v>128</v>
      </c>
      <c r="H38" s="2" t="s">
        <v>107</v>
      </c>
      <c r="I38" s="19"/>
      <c r="J38" s="11">
        <v>33086</v>
      </c>
      <c r="K38" s="2" t="str">
        <f t="shared" ca="1" si="1"/>
        <v>36 THN 0 BLN</v>
      </c>
      <c r="L38" s="1">
        <v>1</v>
      </c>
    </row>
    <row r="39" spans="1:13" x14ac:dyDescent="0.35">
      <c r="A39" s="2">
        <v>33</v>
      </c>
      <c r="B39" s="2" t="s">
        <v>34</v>
      </c>
      <c r="C39" s="2">
        <v>45</v>
      </c>
      <c r="D39" s="3" t="s">
        <v>37</v>
      </c>
      <c r="E39" s="11">
        <v>41866</v>
      </c>
      <c r="F39" s="2" t="str">
        <f t="shared" ca="1" si="0"/>
        <v>12 THN 0 BLN</v>
      </c>
      <c r="G39" s="3" t="s">
        <v>128</v>
      </c>
      <c r="H39" s="2" t="s">
        <v>107</v>
      </c>
      <c r="I39" s="19"/>
      <c r="J39" s="11">
        <v>33396</v>
      </c>
      <c r="K39" s="2" t="str">
        <f t="shared" ca="1" si="1"/>
        <v>35 THN 2 BLN</v>
      </c>
    </row>
    <row r="40" spans="1:13" x14ac:dyDescent="0.35">
      <c r="A40" s="2">
        <v>34</v>
      </c>
      <c r="B40" s="2" t="s">
        <v>34</v>
      </c>
      <c r="C40" s="2">
        <v>247</v>
      </c>
      <c r="D40" s="3" t="s">
        <v>110</v>
      </c>
      <c r="E40" s="11">
        <v>43325</v>
      </c>
      <c r="F40" s="2" t="str">
        <f t="shared" ca="1" si="0"/>
        <v>8 THN 0 BLN</v>
      </c>
      <c r="G40" s="3" t="s">
        <v>129</v>
      </c>
      <c r="H40" s="2" t="s">
        <v>107</v>
      </c>
      <c r="I40" s="19"/>
      <c r="J40" s="11">
        <v>30443</v>
      </c>
      <c r="K40" s="2" t="str">
        <f t="shared" ca="1" si="1"/>
        <v>43 THN 3 BLN</v>
      </c>
    </row>
    <row r="41" spans="1:13" x14ac:dyDescent="0.35">
      <c r="A41" s="2">
        <v>35</v>
      </c>
      <c r="B41" s="2" t="s">
        <v>34</v>
      </c>
      <c r="C41" s="2">
        <v>171</v>
      </c>
      <c r="D41" s="3" t="s">
        <v>39</v>
      </c>
      <c r="E41" s="11">
        <v>42789</v>
      </c>
      <c r="F41" s="2" t="str">
        <f t="shared" ca="1" si="0"/>
        <v>9 THN 6 BLN</v>
      </c>
      <c r="G41" s="3" t="s">
        <v>129</v>
      </c>
      <c r="H41" s="2" t="s">
        <v>107</v>
      </c>
      <c r="I41" s="19"/>
      <c r="J41" s="11">
        <v>32863</v>
      </c>
      <c r="K41" s="2" t="str">
        <f t="shared" ca="1" si="1"/>
        <v>36 THN 8 BLN</v>
      </c>
      <c r="M41" s="1">
        <v>1</v>
      </c>
    </row>
    <row r="42" spans="1:13" x14ac:dyDescent="0.35">
      <c r="A42" s="2">
        <v>36</v>
      </c>
      <c r="B42" s="2" t="s">
        <v>34</v>
      </c>
      <c r="C42" s="2">
        <v>17</v>
      </c>
      <c r="D42" s="3" t="s">
        <v>47</v>
      </c>
      <c r="E42" s="11">
        <v>41539</v>
      </c>
      <c r="F42" s="2" t="str">
        <f t="shared" ca="1" si="0"/>
        <v>12 THN 11 BLN</v>
      </c>
      <c r="G42" s="3" t="s">
        <v>130</v>
      </c>
      <c r="H42" s="2" t="s">
        <v>107</v>
      </c>
      <c r="I42" s="19"/>
      <c r="J42" s="11">
        <v>33806</v>
      </c>
      <c r="K42" s="2" t="str">
        <f t="shared" ca="1" si="1"/>
        <v>34 THN 1 BLN</v>
      </c>
    </row>
    <row r="43" spans="1:13" x14ac:dyDescent="0.35">
      <c r="A43" s="2">
        <v>37</v>
      </c>
      <c r="B43" s="2" t="s">
        <v>34</v>
      </c>
      <c r="C43" s="2">
        <v>324</v>
      </c>
      <c r="D43" s="3" t="s">
        <v>100</v>
      </c>
      <c r="E43" s="11">
        <v>43678</v>
      </c>
      <c r="F43" s="2" t="str">
        <f t="shared" ref="F43:F48" ca="1" si="4">DATEDIF(E43,TODAY(),"Y")&amp; " THN "&amp;DATEDIF(E43,TODAY(),"YM")&amp;" BLN"</f>
        <v>7 THN 0 BLN</v>
      </c>
      <c r="G43" s="3" t="s">
        <v>130</v>
      </c>
      <c r="H43" s="2" t="s">
        <v>107</v>
      </c>
      <c r="I43" s="19"/>
      <c r="J43" s="11">
        <v>35162</v>
      </c>
      <c r="K43" s="2" t="str">
        <f t="shared" ref="K43:K48" ca="1" si="5">DATEDIF(J43,TODAY(),"Y")&amp; " THN "&amp;DATEDIF(J43,TODAY(),"YM")&amp;" BLN"</f>
        <v>30 THN 4 BLN</v>
      </c>
      <c r="L43" s="1">
        <v>2</v>
      </c>
    </row>
    <row r="44" spans="1:13" x14ac:dyDescent="0.35">
      <c r="A44" s="2">
        <v>39</v>
      </c>
      <c r="B44" s="2" t="s">
        <v>34</v>
      </c>
      <c r="C44" s="2">
        <v>239</v>
      </c>
      <c r="D44" s="13" t="s">
        <v>46</v>
      </c>
      <c r="E44" s="14">
        <v>43293</v>
      </c>
      <c r="F44" s="2" t="str">
        <f t="shared" ca="1" si="4"/>
        <v>8 THN 1 BLN</v>
      </c>
      <c r="G44" s="3" t="s">
        <v>131</v>
      </c>
      <c r="H44" s="2" t="s">
        <v>107</v>
      </c>
      <c r="I44" s="19"/>
      <c r="J44" s="11">
        <v>29127</v>
      </c>
      <c r="K44" s="2" t="str">
        <f t="shared" ca="1" si="5"/>
        <v>46 THN 11 BLN</v>
      </c>
      <c r="M44" s="1">
        <v>3</v>
      </c>
    </row>
    <row r="45" spans="1:13" x14ac:dyDescent="0.35">
      <c r="A45" s="2">
        <v>40</v>
      </c>
      <c r="B45" s="2" t="s">
        <v>34</v>
      </c>
      <c r="C45" s="2">
        <v>304</v>
      </c>
      <c r="D45" s="3" t="s">
        <v>102</v>
      </c>
      <c r="E45" s="11">
        <v>43525</v>
      </c>
      <c r="F45" s="2" t="str">
        <f t="shared" ca="1" si="4"/>
        <v>7 THN 5 BLN</v>
      </c>
      <c r="G45" s="3" t="s">
        <v>142</v>
      </c>
      <c r="H45" s="2" t="s">
        <v>106</v>
      </c>
      <c r="I45" s="19"/>
      <c r="J45" s="11">
        <v>34586</v>
      </c>
      <c r="K45" s="2" t="str">
        <f t="shared" ca="1" si="5"/>
        <v>31 THN 11 BLN</v>
      </c>
    </row>
    <row r="46" spans="1:13" x14ac:dyDescent="0.35">
      <c r="A46" s="2">
        <v>41</v>
      </c>
      <c r="B46" s="2" t="s">
        <v>34</v>
      </c>
      <c r="C46" s="2">
        <v>306</v>
      </c>
      <c r="D46" s="3" t="s">
        <v>103</v>
      </c>
      <c r="E46" s="11">
        <v>43525</v>
      </c>
      <c r="F46" s="2" t="str">
        <f t="shared" ca="1" si="4"/>
        <v>7 THN 5 BLN</v>
      </c>
      <c r="G46" s="3" t="s">
        <v>142</v>
      </c>
      <c r="H46" s="2" t="s">
        <v>106</v>
      </c>
      <c r="I46" s="19"/>
      <c r="J46" s="11">
        <v>34500</v>
      </c>
      <c r="K46" s="2" t="str">
        <f t="shared" ca="1" si="5"/>
        <v>32 THN 2 BLN</v>
      </c>
    </row>
    <row r="47" spans="1:13" x14ac:dyDescent="0.35">
      <c r="A47" s="2">
        <v>42</v>
      </c>
      <c r="B47" s="2" t="s">
        <v>34</v>
      </c>
      <c r="C47" s="2">
        <v>307</v>
      </c>
      <c r="D47" s="3" t="s">
        <v>104</v>
      </c>
      <c r="E47" s="11">
        <v>43525</v>
      </c>
      <c r="F47" s="2" t="str">
        <f t="shared" ca="1" si="4"/>
        <v>7 THN 5 BLN</v>
      </c>
      <c r="G47" s="3" t="s">
        <v>142</v>
      </c>
      <c r="H47" s="2" t="s">
        <v>106</v>
      </c>
      <c r="I47" s="19"/>
      <c r="J47" s="11">
        <v>35194</v>
      </c>
      <c r="K47" s="2" t="str">
        <f t="shared" ca="1" si="5"/>
        <v>30 THN 3 BLN</v>
      </c>
    </row>
    <row r="48" spans="1:13" x14ac:dyDescent="0.35">
      <c r="A48" s="2">
        <v>43</v>
      </c>
      <c r="B48" s="2" t="s">
        <v>34</v>
      </c>
      <c r="C48" s="2">
        <v>363</v>
      </c>
      <c r="D48" s="3" t="s">
        <v>160</v>
      </c>
      <c r="E48" s="11">
        <v>44058</v>
      </c>
      <c r="F48" s="2" t="str">
        <f t="shared" ca="1" si="4"/>
        <v>6 THN 0 BLN</v>
      </c>
      <c r="G48" s="3" t="s">
        <v>142</v>
      </c>
      <c r="H48" s="2"/>
      <c r="I48" s="19"/>
      <c r="J48" s="11">
        <v>34407</v>
      </c>
      <c r="K48" s="2" t="str">
        <f t="shared" ca="1" si="5"/>
        <v>32 THN 5 BLN</v>
      </c>
    </row>
    <row r="49" spans="1:13" x14ac:dyDescent="0.35">
      <c r="A49" s="2">
        <v>44</v>
      </c>
      <c r="B49" s="2" t="s">
        <v>34</v>
      </c>
      <c r="C49" s="2">
        <v>23</v>
      </c>
      <c r="D49" s="3" t="s">
        <v>40</v>
      </c>
      <c r="E49" s="11">
        <v>36661</v>
      </c>
      <c r="F49" s="2" t="str">
        <f t="shared" ca="1" si="0"/>
        <v>26 THN 3 BLN</v>
      </c>
      <c r="G49" s="3" t="s">
        <v>132</v>
      </c>
      <c r="H49" s="2" t="s">
        <v>107</v>
      </c>
      <c r="I49" s="19"/>
      <c r="J49" s="11">
        <v>27121</v>
      </c>
      <c r="K49" s="2" t="str">
        <f t="shared" ca="1" si="1"/>
        <v>52 THN 4 BLN</v>
      </c>
      <c r="L49" s="1">
        <v>3</v>
      </c>
    </row>
    <row r="50" spans="1:13" x14ac:dyDescent="0.35">
      <c r="A50" s="2">
        <v>45</v>
      </c>
      <c r="B50" s="2" t="s">
        <v>34</v>
      </c>
      <c r="C50" s="2">
        <v>27</v>
      </c>
      <c r="D50" s="3" t="s">
        <v>41</v>
      </c>
      <c r="E50" s="11">
        <v>39756</v>
      </c>
      <c r="F50" s="2" t="str">
        <f t="shared" ca="1" si="0"/>
        <v>17 THN 9 BLN</v>
      </c>
      <c r="G50" s="3" t="s">
        <v>132</v>
      </c>
      <c r="H50" s="2" t="s">
        <v>107</v>
      </c>
      <c r="I50" s="19"/>
      <c r="J50" s="11">
        <v>27968</v>
      </c>
      <c r="K50" s="2" t="str">
        <f t="shared" ca="1" si="1"/>
        <v>50 THN 1 BLN</v>
      </c>
      <c r="L50" s="1">
        <v>4</v>
      </c>
    </row>
    <row r="51" spans="1:13" x14ac:dyDescent="0.35">
      <c r="A51" s="2">
        <v>46</v>
      </c>
      <c r="B51" s="2" t="s">
        <v>34</v>
      </c>
      <c r="C51" s="2">
        <v>39</v>
      </c>
      <c r="D51" s="3" t="s">
        <v>42</v>
      </c>
      <c r="E51" s="11">
        <v>42215</v>
      </c>
      <c r="F51" s="2" t="str">
        <f t="shared" ca="1" si="0"/>
        <v>11 THN 0 BLN</v>
      </c>
      <c r="G51" s="3" t="s">
        <v>132</v>
      </c>
      <c r="H51" s="2" t="s">
        <v>107</v>
      </c>
      <c r="I51" s="19"/>
      <c r="J51" s="11">
        <v>26055</v>
      </c>
      <c r="K51" s="2" t="str">
        <f t="shared" ca="1" si="1"/>
        <v>55 THN 3 BLN</v>
      </c>
      <c r="L51" s="1">
        <v>5</v>
      </c>
    </row>
    <row r="52" spans="1:13" x14ac:dyDescent="0.35">
      <c r="A52" s="2">
        <v>47</v>
      </c>
      <c r="B52" s="2" t="s">
        <v>34</v>
      </c>
      <c r="C52" s="21">
        <v>77</v>
      </c>
      <c r="D52" s="3" t="s">
        <v>43</v>
      </c>
      <c r="E52" s="11">
        <v>42152</v>
      </c>
      <c r="F52" s="2" t="str">
        <f t="shared" ca="1" si="0"/>
        <v>11 THN 3 BLN</v>
      </c>
      <c r="G52" s="3" t="s">
        <v>132</v>
      </c>
      <c r="H52" s="2" t="s">
        <v>107</v>
      </c>
      <c r="I52" s="19"/>
      <c r="J52" s="11">
        <v>25204</v>
      </c>
      <c r="K52" s="2" t="str">
        <f t="shared" ca="1" si="1"/>
        <v>57 THN 7 BLN</v>
      </c>
      <c r="L52" s="1">
        <v>6</v>
      </c>
    </row>
    <row r="53" spans="1:13" x14ac:dyDescent="0.35">
      <c r="A53" s="2">
        <v>48</v>
      </c>
      <c r="B53" s="2" t="s">
        <v>34</v>
      </c>
      <c r="C53" s="2">
        <v>154</v>
      </c>
      <c r="D53" s="3" t="s">
        <v>44</v>
      </c>
      <c r="E53" s="11">
        <v>42752</v>
      </c>
      <c r="F53" s="2" t="str">
        <f t="shared" ca="1" si="0"/>
        <v>9 THN 7 BLN</v>
      </c>
      <c r="G53" s="3" t="s">
        <v>132</v>
      </c>
      <c r="H53" s="2" t="s">
        <v>107</v>
      </c>
      <c r="I53" s="19"/>
      <c r="J53" s="11">
        <v>31111</v>
      </c>
      <c r="K53" s="2" t="str">
        <f t="shared" ca="1" si="1"/>
        <v>41 THN 5 BLN</v>
      </c>
      <c r="L53" s="1">
        <v>7</v>
      </c>
    </row>
    <row r="54" spans="1:13" x14ac:dyDescent="0.35">
      <c r="A54" s="2">
        <v>49</v>
      </c>
      <c r="B54" s="2" t="s">
        <v>34</v>
      </c>
      <c r="C54" s="2">
        <v>157</v>
      </c>
      <c r="D54" s="3" t="s">
        <v>45</v>
      </c>
      <c r="E54" s="11">
        <v>42753</v>
      </c>
      <c r="F54" s="2" t="str">
        <f t="shared" ca="1" si="0"/>
        <v>9 THN 7 BLN</v>
      </c>
      <c r="G54" s="3" t="s">
        <v>132</v>
      </c>
      <c r="H54" s="2" t="s">
        <v>107</v>
      </c>
      <c r="I54" s="19"/>
      <c r="J54" s="11">
        <v>31672</v>
      </c>
      <c r="K54" s="2" t="str">
        <f t="shared" ca="1" si="1"/>
        <v>39 THN 11 BLN</v>
      </c>
      <c r="M54" s="1">
        <v>4</v>
      </c>
    </row>
    <row r="55" spans="1:13" x14ac:dyDescent="0.35">
      <c r="A55" s="2">
        <v>50</v>
      </c>
      <c r="B55" s="2" t="s">
        <v>34</v>
      </c>
      <c r="C55" s="2">
        <v>243</v>
      </c>
      <c r="D55" s="3" t="s">
        <v>58</v>
      </c>
      <c r="E55" s="11">
        <v>43302</v>
      </c>
      <c r="F55" s="2" t="str">
        <f t="shared" ca="1" si="0"/>
        <v>8 THN 1 BLN</v>
      </c>
      <c r="G55" s="3" t="s">
        <v>133</v>
      </c>
      <c r="H55" s="2" t="s">
        <v>107</v>
      </c>
      <c r="I55" s="19"/>
      <c r="J55" s="11">
        <v>36649</v>
      </c>
      <c r="K55" s="2" t="str">
        <f t="shared" ca="1" si="1"/>
        <v>26 THN 3 BLN</v>
      </c>
      <c r="M55" s="1">
        <v>5</v>
      </c>
    </row>
    <row r="56" spans="1:13" x14ac:dyDescent="0.35">
      <c r="A56" s="2">
        <v>51</v>
      </c>
      <c r="B56" s="2" t="s">
        <v>34</v>
      </c>
      <c r="C56" s="2">
        <v>375</v>
      </c>
      <c r="D56" s="3" t="s">
        <v>169</v>
      </c>
      <c r="E56" s="11">
        <v>44109</v>
      </c>
      <c r="F56" s="2" t="str">
        <f t="shared" ca="1" si="0"/>
        <v>5 THN 10 BLN</v>
      </c>
      <c r="G56" s="3" t="s">
        <v>133</v>
      </c>
      <c r="H56" s="2"/>
      <c r="I56" s="19"/>
      <c r="J56" s="11">
        <v>31475</v>
      </c>
      <c r="K56" s="2" t="str">
        <f t="shared" ca="1" si="1"/>
        <v>40 THN 5 BLN</v>
      </c>
      <c r="L56" s="1">
        <v>8</v>
      </c>
    </row>
    <row r="57" spans="1:13" x14ac:dyDescent="0.35">
      <c r="A57" s="2">
        <v>52</v>
      </c>
      <c r="B57" s="2" t="s">
        <v>34</v>
      </c>
      <c r="C57" s="2">
        <v>202</v>
      </c>
      <c r="D57" s="3" t="s">
        <v>50</v>
      </c>
      <c r="E57" s="11">
        <v>42903</v>
      </c>
      <c r="F57" s="2" t="str">
        <f t="shared" ca="1" si="0"/>
        <v>9 THN 2 BLN</v>
      </c>
      <c r="G57" s="3" t="s">
        <v>134</v>
      </c>
      <c r="H57" s="2" t="s">
        <v>107</v>
      </c>
      <c r="I57" s="19"/>
      <c r="J57" s="11">
        <v>34213</v>
      </c>
      <c r="K57" s="2" t="str">
        <f t="shared" ca="1" si="1"/>
        <v>32 THN 11 BLN</v>
      </c>
    </row>
    <row r="58" spans="1:13" x14ac:dyDescent="0.35">
      <c r="A58" s="2">
        <v>53</v>
      </c>
      <c r="B58" s="2" t="s">
        <v>34</v>
      </c>
      <c r="C58" s="2">
        <v>303</v>
      </c>
      <c r="D58" s="3" t="s">
        <v>51</v>
      </c>
      <c r="E58" s="11">
        <v>43150</v>
      </c>
      <c r="F58" s="2" t="str">
        <f t="shared" ca="1" si="0"/>
        <v>8 THN 6 BLN</v>
      </c>
      <c r="G58" s="3" t="s">
        <v>134</v>
      </c>
      <c r="H58" s="2" t="s">
        <v>107</v>
      </c>
      <c r="I58" s="19"/>
      <c r="J58" s="11">
        <v>30297</v>
      </c>
      <c r="K58" s="2" t="str">
        <f t="shared" ca="1" si="1"/>
        <v>43 THN 8 BLN</v>
      </c>
    </row>
    <row r="59" spans="1:13" x14ac:dyDescent="0.35">
      <c r="A59" s="2">
        <v>54</v>
      </c>
      <c r="B59" s="2" t="s">
        <v>34</v>
      </c>
      <c r="C59" s="2">
        <v>230</v>
      </c>
      <c r="D59" s="3" t="s">
        <v>52</v>
      </c>
      <c r="E59" s="11">
        <v>43192</v>
      </c>
      <c r="F59" s="2" t="str">
        <f t="shared" ca="1" si="0"/>
        <v>8 THN 4 BLN</v>
      </c>
      <c r="G59" s="3" t="s">
        <v>134</v>
      </c>
      <c r="H59" s="2" t="s">
        <v>107</v>
      </c>
      <c r="I59" s="19"/>
      <c r="J59" s="11">
        <v>33134</v>
      </c>
      <c r="K59" s="2" t="str">
        <f t="shared" ca="1" si="1"/>
        <v>35 THN 11 BLN</v>
      </c>
    </row>
    <row r="60" spans="1:13" x14ac:dyDescent="0.35">
      <c r="A60" s="2">
        <v>55</v>
      </c>
      <c r="B60" s="2" t="s">
        <v>34</v>
      </c>
      <c r="C60" s="2">
        <v>236</v>
      </c>
      <c r="D60" s="3" t="s">
        <v>53</v>
      </c>
      <c r="E60" s="11">
        <v>43290</v>
      </c>
      <c r="F60" s="2" t="str">
        <f t="shared" ca="1" si="0"/>
        <v>8 THN 1 BLN</v>
      </c>
      <c r="G60" s="3" t="s">
        <v>134</v>
      </c>
      <c r="H60" s="2" t="s">
        <v>107</v>
      </c>
      <c r="I60" s="19"/>
      <c r="J60" s="11">
        <v>35990</v>
      </c>
      <c r="K60" s="2" t="str">
        <f t="shared" ca="1" si="1"/>
        <v>28 THN 1 BLN</v>
      </c>
    </row>
    <row r="61" spans="1:13" x14ac:dyDescent="0.35">
      <c r="A61" s="2">
        <v>56</v>
      </c>
      <c r="B61" s="2" t="s">
        <v>34</v>
      </c>
      <c r="C61" s="2">
        <v>346</v>
      </c>
      <c r="D61" s="3" t="s">
        <v>119</v>
      </c>
      <c r="E61" s="11">
        <v>43878</v>
      </c>
      <c r="F61" s="2" t="str">
        <f t="shared" ca="1" si="0"/>
        <v>6 THN 6 BLN</v>
      </c>
      <c r="G61" s="3" t="s">
        <v>134</v>
      </c>
      <c r="H61" s="2"/>
      <c r="I61" s="19"/>
      <c r="J61" s="11">
        <v>35807</v>
      </c>
      <c r="K61" s="2" t="str">
        <f t="shared" ca="1" si="1"/>
        <v>28 THN 7 BLN</v>
      </c>
    </row>
    <row r="62" spans="1:13" x14ac:dyDescent="0.35">
      <c r="A62" s="2">
        <v>57</v>
      </c>
      <c r="B62" s="2" t="s">
        <v>34</v>
      </c>
      <c r="C62" s="2">
        <v>365</v>
      </c>
      <c r="D62" s="3" t="s">
        <v>165</v>
      </c>
      <c r="E62" s="11">
        <v>44069</v>
      </c>
      <c r="F62" s="2" t="str">
        <f t="shared" ca="1" si="0"/>
        <v>6 THN 0 BLN</v>
      </c>
      <c r="G62" s="15" t="s">
        <v>168</v>
      </c>
      <c r="H62" s="2"/>
      <c r="I62" s="19"/>
      <c r="J62" s="11">
        <v>37322</v>
      </c>
      <c r="K62" s="2" t="str">
        <f t="shared" ca="1" si="1"/>
        <v>24 THN 5 BLN</v>
      </c>
    </row>
    <row r="63" spans="1:13" x14ac:dyDescent="0.35">
      <c r="A63" s="2">
        <v>58</v>
      </c>
      <c r="B63" s="2" t="s">
        <v>34</v>
      </c>
      <c r="C63" s="2">
        <v>366</v>
      </c>
      <c r="D63" s="3" t="s">
        <v>166</v>
      </c>
      <c r="E63" s="11">
        <v>44069</v>
      </c>
      <c r="F63" s="2" t="str">
        <f t="shared" ca="1" si="0"/>
        <v>6 THN 0 BLN</v>
      </c>
      <c r="G63" s="15" t="s">
        <v>168</v>
      </c>
      <c r="H63" s="2"/>
      <c r="I63" s="19"/>
      <c r="J63" s="11">
        <v>35873</v>
      </c>
      <c r="K63" s="2" t="str">
        <f t="shared" ca="1" si="1"/>
        <v>28 THN 5 BLN</v>
      </c>
    </row>
    <row r="64" spans="1:13" x14ac:dyDescent="0.35">
      <c r="A64" s="2">
        <v>59</v>
      </c>
      <c r="B64" s="2" t="s">
        <v>34</v>
      </c>
      <c r="C64" s="2">
        <v>374</v>
      </c>
      <c r="D64" s="3" t="s">
        <v>163</v>
      </c>
      <c r="E64" s="11">
        <v>44102</v>
      </c>
      <c r="F64" s="2" t="str">
        <f t="shared" ca="1" si="0"/>
        <v>5 THN 11 BLN</v>
      </c>
      <c r="G64" s="3" t="s">
        <v>161</v>
      </c>
      <c r="H64" s="2"/>
      <c r="I64" s="19"/>
      <c r="J64" s="11">
        <v>37006</v>
      </c>
      <c r="K64" s="2" t="str">
        <f t="shared" ca="1" si="1"/>
        <v>25 THN 4 BLN</v>
      </c>
    </row>
    <row r="65" spans="1:13" x14ac:dyDescent="0.35">
      <c r="A65" s="2">
        <v>60</v>
      </c>
      <c r="B65" s="2" t="s">
        <v>34</v>
      </c>
      <c r="C65" s="2">
        <v>362</v>
      </c>
      <c r="D65" s="3" t="s">
        <v>164</v>
      </c>
      <c r="E65" s="11">
        <v>44058</v>
      </c>
      <c r="F65" s="2" t="str">
        <f t="shared" ca="1" si="0"/>
        <v>6 THN 0 BLN</v>
      </c>
      <c r="G65" s="3" t="s">
        <v>162</v>
      </c>
      <c r="H65" s="2"/>
      <c r="I65" s="19"/>
      <c r="J65" s="11">
        <v>36884</v>
      </c>
      <c r="K65" s="2" t="str">
        <f t="shared" ca="1" si="1"/>
        <v>25 THN 8 BLN</v>
      </c>
    </row>
    <row r="66" spans="1:13" x14ac:dyDescent="0.35">
      <c r="A66" s="2">
        <v>61</v>
      </c>
      <c r="B66" s="2" t="s">
        <v>34</v>
      </c>
      <c r="C66" s="2">
        <v>370</v>
      </c>
      <c r="D66" s="3" t="s">
        <v>167</v>
      </c>
      <c r="E66" s="11">
        <v>44088</v>
      </c>
      <c r="F66" s="2" t="str">
        <f t="shared" ca="1" si="0"/>
        <v>5 THN 11 BLN</v>
      </c>
      <c r="G66" s="3" t="s">
        <v>162</v>
      </c>
      <c r="H66" s="2"/>
      <c r="I66" s="19"/>
      <c r="J66" s="11">
        <v>35598</v>
      </c>
      <c r="K66" s="2" t="str">
        <f t="shared" ca="1" si="1"/>
        <v>29 THN 2 BLN</v>
      </c>
    </row>
    <row r="67" spans="1:13" x14ac:dyDescent="0.35">
      <c r="A67" s="2">
        <v>63</v>
      </c>
      <c r="B67" s="2" t="s">
        <v>88</v>
      </c>
      <c r="C67" s="2">
        <v>40</v>
      </c>
      <c r="D67" s="3" t="s">
        <v>54</v>
      </c>
      <c r="E67" s="11">
        <v>41524</v>
      </c>
      <c r="F67" s="2" t="str">
        <f t="shared" ca="1" si="0"/>
        <v>12 THN 11 BLN</v>
      </c>
      <c r="G67" s="3" t="s">
        <v>135</v>
      </c>
      <c r="H67" s="2" t="s">
        <v>107</v>
      </c>
      <c r="I67" s="19"/>
      <c r="J67" s="11">
        <v>35382</v>
      </c>
      <c r="K67" s="2" t="str">
        <f t="shared" ca="1" si="1"/>
        <v>29 THN 9 BLN</v>
      </c>
      <c r="M67" s="1">
        <v>6</v>
      </c>
    </row>
    <row r="68" spans="1:13" x14ac:dyDescent="0.35">
      <c r="A68" s="2">
        <v>64</v>
      </c>
      <c r="B68" s="2" t="s">
        <v>88</v>
      </c>
      <c r="C68" s="2">
        <v>82</v>
      </c>
      <c r="D68" s="3" t="s">
        <v>38</v>
      </c>
      <c r="E68" s="11">
        <v>42212</v>
      </c>
      <c r="F68" s="2" t="str">
        <f t="shared" ca="1" si="0"/>
        <v>11 THN 1 BLN</v>
      </c>
      <c r="G68" s="3" t="s">
        <v>135</v>
      </c>
      <c r="H68" s="2" t="s">
        <v>107</v>
      </c>
      <c r="I68" s="19"/>
      <c r="J68" s="11">
        <v>34624</v>
      </c>
      <c r="K68" s="2" t="str">
        <f t="shared" ca="1" si="1"/>
        <v>31 THN 10 BLN</v>
      </c>
      <c r="M68" s="1">
        <v>7</v>
      </c>
    </row>
    <row r="69" spans="1:13" x14ac:dyDescent="0.35">
      <c r="A69" s="2">
        <v>65</v>
      </c>
      <c r="B69" s="2" t="s">
        <v>88</v>
      </c>
      <c r="C69" s="2">
        <v>36</v>
      </c>
      <c r="D69" s="3" t="s">
        <v>55</v>
      </c>
      <c r="E69" s="11">
        <v>41858</v>
      </c>
      <c r="F69" s="2" t="str">
        <f t="shared" ca="1" si="0"/>
        <v>12 THN 0 BLN</v>
      </c>
      <c r="G69" s="3" t="s">
        <v>136</v>
      </c>
      <c r="H69" s="2" t="s">
        <v>107</v>
      </c>
      <c r="I69" s="19"/>
      <c r="J69" s="11">
        <v>30746</v>
      </c>
      <c r="K69" s="2" t="str">
        <f t="shared" ca="1" si="1"/>
        <v>42 THN 5 BLN</v>
      </c>
      <c r="L69" s="1">
        <v>9</v>
      </c>
      <c r="M69" s="1">
        <v>8</v>
      </c>
    </row>
    <row r="70" spans="1:13" x14ac:dyDescent="0.35">
      <c r="A70" s="2">
        <v>66</v>
      </c>
      <c r="B70" s="2" t="s">
        <v>88</v>
      </c>
      <c r="C70" s="2">
        <v>101</v>
      </c>
      <c r="D70" s="3" t="s">
        <v>56</v>
      </c>
      <c r="E70" s="11">
        <v>42522</v>
      </c>
      <c r="F70" s="2" t="str">
        <f t="shared" ca="1" si="0"/>
        <v>10 THN 2 BLN</v>
      </c>
      <c r="G70" s="3" t="s">
        <v>136</v>
      </c>
      <c r="H70" s="2" t="s">
        <v>107</v>
      </c>
      <c r="I70" s="19"/>
      <c r="J70" s="11">
        <v>29395</v>
      </c>
      <c r="K70" s="2" t="str">
        <f t="shared" ca="1" si="1"/>
        <v>46 THN 2 BLN</v>
      </c>
      <c r="M70" s="1">
        <v>9</v>
      </c>
    </row>
    <row r="71" spans="1:13" x14ac:dyDescent="0.35">
      <c r="A71" s="2">
        <v>67</v>
      </c>
      <c r="B71" s="2" t="s">
        <v>88</v>
      </c>
      <c r="C71" s="2">
        <v>161</v>
      </c>
      <c r="D71" s="3" t="s">
        <v>57</v>
      </c>
      <c r="E71" s="11">
        <v>42756</v>
      </c>
      <c r="F71" s="2" t="str">
        <f t="shared" ca="1" si="0"/>
        <v>9 THN 7 BLN</v>
      </c>
      <c r="G71" s="3" t="s">
        <v>136</v>
      </c>
      <c r="H71" s="2" t="s">
        <v>107</v>
      </c>
      <c r="I71" s="19"/>
      <c r="J71" s="11">
        <v>34945</v>
      </c>
      <c r="K71" s="2" t="str">
        <f t="shared" ca="1" si="1"/>
        <v>30 THN 11 BLN</v>
      </c>
      <c r="M71" s="1">
        <v>10</v>
      </c>
    </row>
    <row r="72" spans="1:13" x14ac:dyDescent="0.35">
      <c r="A72" s="2">
        <v>68</v>
      </c>
      <c r="B72" s="2" t="s">
        <v>88</v>
      </c>
      <c r="C72" s="2">
        <v>360</v>
      </c>
      <c r="D72" s="3" t="s">
        <v>170</v>
      </c>
      <c r="E72" s="11">
        <v>44047</v>
      </c>
      <c r="F72" s="2" t="str">
        <f t="shared" ca="1" si="0"/>
        <v>6 THN 0 BLN</v>
      </c>
      <c r="G72" s="15" t="s">
        <v>171</v>
      </c>
      <c r="H72" s="2"/>
      <c r="I72" s="19"/>
      <c r="J72" s="11">
        <v>36658</v>
      </c>
      <c r="K72" s="2" t="str">
        <f t="shared" ca="1" si="1"/>
        <v>26 THN 3 BLN</v>
      </c>
      <c r="M72" s="1">
        <v>11</v>
      </c>
    </row>
    <row r="73" spans="1:13" x14ac:dyDescent="0.35">
      <c r="A73" s="2">
        <v>69</v>
      </c>
      <c r="B73" s="2" t="s">
        <v>88</v>
      </c>
      <c r="C73" s="2">
        <v>376</v>
      </c>
      <c r="D73" s="3" t="s">
        <v>172</v>
      </c>
      <c r="E73" s="11">
        <v>44109</v>
      </c>
      <c r="F73" s="2" t="str">
        <f t="shared" ca="1" si="0"/>
        <v>5 THN 10 BLN</v>
      </c>
      <c r="G73" s="15" t="s">
        <v>171</v>
      </c>
      <c r="H73" s="2"/>
      <c r="I73" s="19"/>
      <c r="J73" s="11">
        <v>30221</v>
      </c>
      <c r="K73" s="2" t="str">
        <f t="shared" ca="1" si="1"/>
        <v>43 THN 11 BLN</v>
      </c>
      <c r="M73" s="1">
        <v>12</v>
      </c>
    </row>
    <row r="74" spans="1:13" x14ac:dyDescent="0.35">
      <c r="A74" s="2">
        <v>70</v>
      </c>
      <c r="B74" s="2" t="s">
        <v>90</v>
      </c>
      <c r="C74" s="2">
        <v>3</v>
      </c>
      <c r="D74" s="22" t="s">
        <v>61</v>
      </c>
      <c r="E74" s="11">
        <v>35846</v>
      </c>
      <c r="F74" s="2" t="str">
        <f t="shared" ca="1" si="0"/>
        <v>28 THN 6 BLN</v>
      </c>
      <c r="G74" s="3" t="s">
        <v>62</v>
      </c>
      <c r="H74" s="2" t="s">
        <v>107</v>
      </c>
      <c r="I74" s="19"/>
      <c r="J74" s="11">
        <v>27161</v>
      </c>
      <c r="K74" s="2" t="str">
        <f t="shared" ca="1" si="1"/>
        <v>52 THN 3 BLN</v>
      </c>
    </row>
    <row r="75" spans="1:13" x14ac:dyDescent="0.35">
      <c r="A75" s="2">
        <v>71</v>
      </c>
      <c r="B75" s="2" t="s">
        <v>90</v>
      </c>
      <c r="C75" s="2">
        <v>180</v>
      </c>
      <c r="D75" s="3" t="s">
        <v>63</v>
      </c>
      <c r="E75" s="11">
        <v>42793</v>
      </c>
      <c r="F75" s="2" t="str">
        <f t="shared" ca="1" si="0"/>
        <v>9 THN 6 BLN</v>
      </c>
      <c r="G75" s="3" t="s">
        <v>137</v>
      </c>
      <c r="H75" s="2" t="s">
        <v>107</v>
      </c>
      <c r="I75" s="19"/>
      <c r="J75" s="11">
        <v>34893</v>
      </c>
      <c r="K75" s="2" t="str">
        <f t="shared" ca="1" si="1"/>
        <v>31 THN 1 BLN</v>
      </c>
    </row>
    <row r="76" spans="1:13" x14ac:dyDescent="0.35">
      <c r="A76" s="2">
        <v>72</v>
      </c>
      <c r="B76" s="2" t="s">
        <v>90</v>
      </c>
      <c r="C76" s="2">
        <v>205</v>
      </c>
      <c r="D76" s="3" t="s">
        <v>64</v>
      </c>
      <c r="E76" s="11">
        <v>42954</v>
      </c>
      <c r="F76" s="2" t="str">
        <f t="shared" ca="1" si="0"/>
        <v>9 THN 0 BLN</v>
      </c>
      <c r="G76" s="3" t="s">
        <v>137</v>
      </c>
      <c r="H76" s="2" t="s">
        <v>107</v>
      </c>
      <c r="I76" s="19"/>
      <c r="J76" s="11">
        <v>32608</v>
      </c>
      <c r="K76" s="2" t="str">
        <f t="shared" ca="1" si="1"/>
        <v>37 THN 4 BLN</v>
      </c>
    </row>
    <row r="77" spans="1:13" x14ac:dyDescent="0.35">
      <c r="A77" s="2">
        <v>73</v>
      </c>
      <c r="B77" s="2" t="s">
        <v>90</v>
      </c>
      <c r="C77" s="2">
        <v>263</v>
      </c>
      <c r="D77" s="3" t="s">
        <v>65</v>
      </c>
      <c r="E77" s="11">
        <v>43347</v>
      </c>
      <c r="F77" s="2" t="str">
        <f t="shared" ca="1" si="0"/>
        <v>7 THN 11 BLN</v>
      </c>
      <c r="G77" s="3" t="s">
        <v>138</v>
      </c>
      <c r="H77" s="2" t="s">
        <v>107</v>
      </c>
      <c r="I77" s="19"/>
      <c r="J77" s="11">
        <v>33595</v>
      </c>
      <c r="K77" s="2" t="str">
        <f t="shared" ca="1" si="1"/>
        <v>34 THN 8 BLN</v>
      </c>
    </row>
    <row r="78" spans="1:13" x14ac:dyDescent="0.35">
      <c r="A78" s="2">
        <v>74</v>
      </c>
      <c r="B78" s="2" t="s">
        <v>90</v>
      </c>
      <c r="C78" s="2">
        <v>234</v>
      </c>
      <c r="D78" s="3" t="s">
        <v>66</v>
      </c>
      <c r="E78" s="11">
        <v>43290</v>
      </c>
      <c r="F78" s="2" t="str">
        <f t="shared" ca="1" si="0"/>
        <v>8 THN 1 BLN</v>
      </c>
      <c r="G78" s="3" t="s">
        <v>138</v>
      </c>
      <c r="H78" s="2" t="s">
        <v>107</v>
      </c>
      <c r="I78" s="19"/>
      <c r="J78" s="11">
        <v>34321</v>
      </c>
      <c r="K78" s="2" t="str">
        <f t="shared" ca="1" si="1"/>
        <v>32 THN 8 BLN</v>
      </c>
    </row>
    <row r="79" spans="1:13" x14ac:dyDescent="0.35">
      <c r="A79" s="2">
        <v>75</v>
      </c>
      <c r="B79" s="2" t="s">
        <v>90</v>
      </c>
      <c r="C79" s="12">
        <v>298</v>
      </c>
      <c r="D79" s="13" t="s">
        <v>91</v>
      </c>
      <c r="E79" s="14">
        <v>43518</v>
      </c>
      <c r="F79" s="2" t="str">
        <f t="shared" ca="1" si="0"/>
        <v>7 THN 6 BLN</v>
      </c>
      <c r="G79" s="3" t="s">
        <v>139</v>
      </c>
      <c r="H79" s="2" t="s">
        <v>107</v>
      </c>
      <c r="I79" s="19"/>
      <c r="J79" s="11">
        <v>35156</v>
      </c>
      <c r="K79" s="2" t="str">
        <f t="shared" ca="1" si="1"/>
        <v>30 THN 4 BLN</v>
      </c>
    </row>
    <row r="80" spans="1:13" x14ac:dyDescent="0.35">
      <c r="A80" s="2">
        <v>76</v>
      </c>
      <c r="B80" s="2" t="s">
        <v>90</v>
      </c>
      <c r="C80" s="12">
        <v>373</v>
      </c>
      <c r="D80" s="3" t="s">
        <v>173</v>
      </c>
      <c r="E80" s="14">
        <v>44095</v>
      </c>
      <c r="F80" s="2" t="str">
        <f t="shared" ca="1" si="0"/>
        <v>5 THN 11 BLN</v>
      </c>
      <c r="G80" s="3" t="s">
        <v>138</v>
      </c>
      <c r="H80" s="2"/>
      <c r="I80" s="19"/>
      <c r="J80" s="11">
        <v>34865</v>
      </c>
      <c r="K80" s="2" t="str">
        <f t="shared" ca="1" si="1"/>
        <v>31 THN 2 BLN</v>
      </c>
    </row>
    <row r="81" spans="1:11" x14ac:dyDescent="0.35">
      <c r="A81" s="2">
        <v>77</v>
      </c>
      <c r="B81" s="2" t="s">
        <v>90</v>
      </c>
      <c r="C81" s="12">
        <v>352</v>
      </c>
      <c r="D81" s="13" t="s">
        <v>116</v>
      </c>
      <c r="E81" s="14">
        <v>43901</v>
      </c>
      <c r="F81" s="2" t="str">
        <f t="shared" ca="1" si="0"/>
        <v>6 THN 5 BLN</v>
      </c>
      <c r="G81" s="3" t="s">
        <v>67</v>
      </c>
      <c r="H81" s="2"/>
      <c r="I81" s="19"/>
      <c r="J81" s="11">
        <v>34468</v>
      </c>
      <c r="K81" s="2" t="str">
        <f t="shared" ca="1" si="1"/>
        <v>32 THN 3 BLN</v>
      </c>
    </row>
    <row r="82" spans="1:11" x14ac:dyDescent="0.35">
      <c r="A82" s="2">
        <v>78</v>
      </c>
      <c r="B82" s="2" t="s">
        <v>90</v>
      </c>
      <c r="C82" s="12">
        <v>367</v>
      </c>
      <c r="D82" s="3" t="s">
        <v>174</v>
      </c>
      <c r="E82" s="14">
        <v>44070</v>
      </c>
      <c r="F82" s="2" t="str">
        <f t="shared" ca="1" si="0"/>
        <v>6 THN 0 BLN</v>
      </c>
      <c r="G82" s="3" t="s">
        <v>67</v>
      </c>
      <c r="H82" s="2"/>
      <c r="I82" s="19"/>
      <c r="J82" s="11">
        <v>37165</v>
      </c>
      <c r="K82" s="2" t="str">
        <f t="shared" ca="1" si="1"/>
        <v>24 THN 10 BLN</v>
      </c>
    </row>
    <row r="83" spans="1:11" x14ac:dyDescent="0.35">
      <c r="A83" s="2">
        <v>80</v>
      </c>
      <c r="B83" s="2" t="s">
        <v>69</v>
      </c>
      <c r="C83" s="21">
        <v>33</v>
      </c>
      <c r="D83" s="3" t="s">
        <v>71</v>
      </c>
      <c r="E83" s="11">
        <v>41862</v>
      </c>
      <c r="F83" s="2" t="str">
        <f t="shared" ref="F83:F93" ca="1" si="6">DATEDIF(E83,TODAY(),"Y")&amp; " THN "&amp;DATEDIF(E83,TODAY(),"YM")&amp;" BLN"</f>
        <v>12 THN 0 BLN</v>
      </c>
      <c r="G83" s="3" t="s">
        <v>72</v>
      </c>
      <c r="H83" s="2" t="s">
        <v>107</v>
      </c>
      <c r="I83" s="19"/>
      <c r="J83" s="11">
        <v>25423</v>
      </c>
      <c r="K83" s="2" t="str">
        <f t="shared" ref="K83:K93" ca="1" si="7">DATEDIF(J83,TODAY(),"Y")&amp; " THN "&amp;DATEDIF(J83,TODAY(),"YM")&amp;" BLN"</f>
        <v>57 THN 0 BLN</v>
      </c>
    </row>
    <row r="84" spans="1:11" x14ac:dyDescent="0.35">
      <c r="A84" s="2">
        <v>81</v>
      </c>
      <c r="B84" s="2" t="s">
        <v>69</v>
      </c>
      <c r="C84" s="2">
        <v>10</v>
      </c>
      <c r="D84" s="3" t="s">
        <v>73</v>
      </c>
      <c r="E84" s="11">
        <v>40463</v>
      </c>
      <c r="F84" s="2" t="str">
        <f t="shared" ca="1" si="6"/>
        <v>15 THN 10 BLN</v>
      </c>
      <c r="G84" s="3" t="s">
        <v>140</v>
      </c>
      <c r="H84" s="2" t="s">
        <v>107</v>
      </c>
      <c r="I84" s="19"/>
      <c r="J84" s="11">
        <v>28361</v>
      </c>
      <c r="K84" s="2" t="str">
        <f t="shared" ca="1" si="7"/>
        <v>49 THN 0 BLN</v>
      </c>
    </row>
    <row r="85" spans="1:11" x14ac:dyDescent="0.35">
      <c r="A85" s="2">
        <v>82</v>
      </c>
      <c r="B85" s="2" t="s">
        <v>69</v>
      </c>
      <c r="C85" s="2">
        <v>341</v>
      </c>
      <c r="D85" s="3" t="s">
        <v>118</v>
      </c>
      <c r="E85" s="11">
        <v>43823</v>
      </c>
      <c r="F85" s="2" t="str">
        <f t="shared" ca="1" si="6"/>
        <v>6 THN 8 BLN</v>
      </c>
      <c r="G85" s="3" t="s">
        <v>140</v>
      </c>
      <c r="H85" s="2"/>
      <c r="I85" s="19"/>
      <c r="J85" s="11">
        <v>29104</v>
      </c>
      <c r="K85" s="2" t="str">
        <f t="shared" ca="1" si="7"/>
        <v>46 THN 11 BLN</v>
      </c>
    </row>
    <row r="86" spans="1:11" x14ac:dyDescent="0.35">
      <c r="A86" s="2">
        <v>83</v>
      </c>
      <c r="B86" s="2" t="s">
        <v>69</v>
      </c>
      <c r="C86" s="2">
        <v>285</v>
      </c>
      <c r="D86" s="3" t="s">
        <v>93</v>
      </c>
      <c r="E86" s="11">
        <v>43494</v>
      </c>
      <c r="F86" s="2" t="str">
        <f t="shared" ca="1" si="6"/>
        <v>7 THN 7 BLN</v>
      </c>
      <c r="G86" s="3" t="s">
        <v>141</v>
      </c>
      <c r="H86" s="2" t="s">
        <v>107</v>
      </c>
      <c r="I86" s="19"/>
      <c r="J86" s="11">
        <v>35720</v>
      </c>
      <c r="K86" s="2" t="str">
        <f t="shared" ca="1" si="7"/>
        <v>28 THN 10 BLN</v>
      </c>
    </row>
    <row r="87" spans="1:11" x14ac:dyDescent="0.35">
      <c r="A87" s="2">
        <v>84</v>
      </c>
      <c r="B87" s="2" t="s">
        <v>69</v>
      </c>
      <c r="C87" s="2">
        <v>358</v>
      </c>
      <c r="D87" s="3" t="s">
        <v>144</v>
      </c>
      <c r="E87" s="11">
        <v>44020</v>
      </c>
      <c r="F87" s="2" t="str">
        <f t="shared" ca="1" si="6"/>
        <v>6 THN 1 BLN</v>
      </c>
      <c r="G87" s="3" t="s">
        <v>145</v>
      </c>
      <c r="H87" s="2"/>
      <c r="I87" s="19"/>
      <c r="J87" s="11">
        <v>35797</v>
      </c>
      <c r="K87" s="2" t="str">
        <f t="shared" ca="1" si="7"/>
        <v>28 THN 7 BLN</v>
      </c>
    </row>
    <row r="88" spans="1:11" x14ac:dyDescent="0.35">
      <c r="A88" s="2">
        <v>85</v>
      </c>
      <c r="B88" s="2" t="s">
        <v>74</v>
      </c>
      <c r="C88" s="2">
        <v>242</v>
      </c>
      <c r="D88" s="3" t="s">
        <v>76</v>
      </c>
      <c r="E88" s="11">
        <v>43299</v>
      </c>
      <c r="F88" s="2" t="str">
        <f t="shared" ca="1" si="6"/>
        <v>8 THN 1 BLN</v>
      </c>
      <c r="G88" s="15" t="s">
        <v>94</v>
      </c>
      <c r="H88" s="2" t="s">
        <v>106</v>
      </c>
      <c r="I88" s="19"/>
      <c r="J88" s="11">
        <v>28636</v>
      </c>
      <c r="K88" s="2" t="str">
        <f t="shared" ca="1" si="7"/>
        <v>48 THN 3 BLN</v>
      </c>
    </row>
    <row r="89" spans="1:11" x14ac:dyDescent="0.35">
      <c r="A89" s="2">
        <v>86</v>
      </c>
      <c r="B89" s="2" t="s">
        <v>74</v>
      </c>
      <c r="C89" s="2">
        <v>225</v>
      </c>
      <c r="D89" s="3" t="s">
        <v>75</v>
      </c>
      <c r="E89" s="11">
        <v>43164</v>
      </c>
      <c r="F89" s="2" t="str">
        <f t="shared" ca="1" si="6"/>
        <v>8 THN 5 BLN</v>
      </c>
      <c r="G89" s="15" t="s">
        <v>95</v>
      </c>
      <c r="H89" s="2" t="s">
        <v>106</v>
      </c>
      <c r="I89" s="19"/>
      <c r="J89" s="11">
        <v>29877</v>
      </c>
      <c r="K89" s="2" t="str">
        <f t="shared" ca="1" si="7"/>
        <v>44 THN 10 BLN</v>
      </c>
    </row>
    <row r="90" spans="1:11" x14ac:dyDescent="0.35">
      <c r="A90" s="2">
        <v>87</v>
      </c>
      <c r="B90" s="2" t="s">
        <v>74</v>
      </c>
      <c r="C90" s="2">
        <v>295</v>
      </c>
      <c r="D90" s="22" t="s">
        <v>96</v>
      </c>
      <c r="E90" s="11">
        <v>43509</v>
      </c>
      <c r="F90" s="2" t="str">
        <f t="shared" ca="1" si="6"/>
        <v>7 THN 6 BLN</v>
      </c>
      <c r="G90" s="15" t="s">
        <v>95</v>
      </c>
      <c r="H90" s="2" t="s">
        <v>106</v>
      </c>
      <c r="I90" s="19"/>
      <c r="J90" s="11">
        <v>26829</v>
      </c>
      <c r="K90" s="2" t="str">
        <f t="shared" ca="1" si="7"/>
        <v>53 THN 2 BLN</v>
      </c>
    </row>
    <row r="91" spans="1:11" x14ac:dyDescent="0.35">
      <c r="A91" s="2">
        <v>88</v>
      </c>
      <c r="B91" s="2" t="s">
        <v>74</v>
      </c>
      <c r="C91" s="2">
        <v>361</v>
      </c>
      <c r="D91" s="3" t="s">
        <v>175</v>
      </c>
      <c r="E91" s="11">
        <v>44058</v>
      </c>
      <c r="F91" s="2" t="str">
        <f t="shared" ca="1" si="6"/>
        <v>6 THN 0 BLN</v>
      </c>
      <c r="G91" s="15" t="s">
        <v>95</v>
      </c>
      <c r="H91" s="2"/>
      <c r="J91" s="11">
        <v>34860</v>
      </c>
      <c r="K91" s="2" t="str">
        <f t="shared" ca="1" si="7"/>
        <v>31 THN 2 BLN</v>
      </c>
    </row>
    <row r="92" spans="1:11" x14ac:dyDescent="0.35">
      <c r="A92" s="2">
        <v>89</v>
      </c>
      <c r="B92" s="2" t="s">
        <v>77</v>
      </c>
      <c r="C92" s="21">
        <v>132</v>
      </c>
      <c r="D92" s="3" t="s">
        <v>79</v>
      </c>
      <c r="E92" s="11">
        <v>42514</v>
      </c>
      <c r="F92" s="2" t="str">
        <f t="shared" ca="1" si="6"/>
        <v>10 THN 3 BLN</v>
      </c>
      <c r="G92" s="3" t="s">
        <v>80</v>
      </c>
      <c r="H92" s="2" t="s">
        <v>107</v>
      </c>
      <c r="I92" s="5"/>
      <c r="J92" s="11">
        <v>25334</v>
      </c>
      <c r="K92" s="2" t="str">
        <f t="shared" ca="1" si="7"/>
        <v>57 THN 3 BLN</v>
      </c>
    </row>
    <row r="93" spans="1:11" x14ac:dyDescent="0.35">
      <c r="A93" s="2">
        <v>90</v>
      </c>
      <c r="B93" s="2" t="s">
        <v>77</v>
      </c>
      <c r="C93" s="2">
        <v>339</v>
      </c>
      <c r="D93" s="3" t="s">
        <v>120</v>
      </c>
      <c r="E93" s="11">
        <v>43810</v>
      </c>
      <c r="F93" s="2" t="str">
        <f t="shared" ca="1" si="6"/>
        <v>6 THN 8 BLN</v>
      </c>
      <c r="G93" s="3" t="s">
        <v>78</v>
      </c>
      <c r="H93" s="2"/>
      <c r="I93" s="5"/>
      <c r="J93" s="11">
        <v>29972</v>
      </c>
      <c r="K93" s="2" t="str">
        <f t="shared" ca="1" si="7"/>
        <v>44 THN 7 BLN</v>
      </c>
    </row>
    <row r="94" spans="1:11" x14ac:dyDescent="0.35">
      <c r="B94" s="5"/>
      <c r="C94" s="5"/>
      <c r="D94" s="1"/>
      <c r="E94" s="5"/>
      <c r="G94" s="6"/>
      <c r="H94" s="1"/>
    </row>
    <row r="95" spans="1:11" x14ac:dyDescent="0.35">
      <c r="B95" s="5"/>
      <c r="C95" s="5"/>
      <c r="D95" s="1"/>
      <c r="E95" s="5"/>
      <c r="G95" s="6"/>
      <c r="H95" s="1"/>
    </row>
    <row r="96" spans="1:11" x14ac:dyDescent="0.35">
      <c r="B96" s="5"/>
      <c r="C96" s="5"/>
      <c r="D96" s="1"/>
      <c r="E96" s="5"/>
      <c r="G96" s="6"/>
      <c r="H96" s="1"/>
    </row>
    <row r="97" spans="2:11" x14ac:dyDescent="0.35">
      <c r="B97" s="5"/>
      <c r="C97" s="5"/>
      <c r="D97" s="3" t="s">
        <v>75</v>
      </c>
      <c r="E97" s="11">
        <v>43164</v>
      </c>
      <c r="F97" s="2" t="str">
        <f ca="1">DATEDIF(E97,TODAY(),"Y")&amp; " THN "&amp;DATEDIF(E97,TODAY(),"YM")&amp;" BLN"</f>
        <v>8 THN 5 BLN</v>
      </c>
      <c r="G97" s="6"/>
      <c r="H97" s="1"/>
    </row>
    <row r="98" spans="2:11" x14ac:dyDescent="0.35">
      <c r="B98" s="5"/>
      <c r="C98" s="5"/>
      <c r="D98" s="3" t="s">
        <v>76</v>
      </c>
      <c r="E98" s="11">
        <v>43299</v>
      </c>
      <c r="F98" s="2" t="str">
        <f t="shared" ref="F98:F100" ca="1" si="8">DATEDIF(E98,TODAY(),"Y")&amp; " THN "&amp;DATEDIF(E98,TODAY(),"YM")&amp;" BLN"</f>
        <v>8 THN 1 BLN</v>
      </c>
      <c r="G98" s="6"/>
      <c r="H98" s="1"/>
    </row>
    <row r="99" spans="2:11" x14ac:dyDescent="0.35">
      <c r="B99" s="5"/>
      <c r="C99" s="5"/>
      <c r="D99" s="3" t="s">
        <v>96</v>
      </c>
      <c r="E99" s="11">
        <v>43509</v>
      </c>
      <c r="F99" s="2" t="str">
        <f t="shared" ca="1" si="8"/>
        <v>7 THN 6 BLN</v>
      </c>
      <c r="G99" s="6"/>
      <c r="H99" s="1"/>
    </row>
    <row r="100" spans="2:11" x14ac:dyDescent="0.35">
      <c r="B100" s="5"/>
      <c r="C100" s="5"/>
      <c r="D100" s="3" t="s">
        <v>175</v>
      </c>
      <c r="E100" s="11">
        <v>44058</v>
      </c>
      <c r="F100" s="2" t="str">
        <f t="shared" ca="1" si="8"/>
        <v>6 THN 0 BLN</v>
      </c>
      <c r="G100" s="6"/>
      <c r="H100" s="1"/>
      <c r="J100" s="7">
        <v>44501</v>
      </c>
      <c r="K100" s="1" t="str">
        <f t="shared" ref="K100" ca="1" si="9">DATEDIF(J100,TODAY(),"Y")&amp; " THN "&amp;DATEDIF(J100,TODAY(),"YM")&amp;" BLN"</f>
        <v>4 THN 9 BLN</v>
      </c>
    </row>
    <row r="101" spans="2:11" x14ac:dyDescent="0.35">
      <c r="B101" s="5"/>
      <c r="C101" s="5"/>
      <c r="D101" s="1"/>
      <c r="E101" s="5"/>
      <c r="G101" s="6"/>
      <c r="H101" s="1"/>
    </row>
    <row r="102" spans="2:11" x14ac:dyDescent="0.35">
      <c r="B102" s="5"/>
      <c r="C102" s="5"/>
      <c r="D102" s="1"/>
      <c r="E102" s="5"/>
      <c r="G102" s="6"/>
      <c r="H102" s="1"/>
    </row>
    <row r="103" spans="2:11" x14ac:dyDescent="0.35">
      <c r="B103" s="5"/>
      <c r="C103" s="5"/>
      <c r="D103" s="1"/>
      <c r="E103" s="5"/>
      <c r="G103" s="6"/>
      <c r="H103" s="1"/>
    </row>
    <row r="104" spans="2:11" x14ac:dyDescent="0.35">
      <c r="B104" s="5"/>
      <c r="C104" s="5"/>
      <c r="D104" s="1"/>
      <c r="E104" s="5"/>
      <c r="G104" s="6"/>
      <c r="H104" s="1"/>
    </row>
    <row r="105" spans="2:11" x14ac:dyDescent="0.35">
      <c r="B105" s="5"/>
      <c r="C105" s="5"/>
      <c r="D105" s="1"/>
      <c r="E105" s="5"/>
      <c r="G105" s="6"/>
      <c r="H105" s="1"/>
    </row>
    <row r="106" spans="2:11" x14ac:dyDescent="0.35">
      <c r="B106" s="5"/>
      <c r="C106" s="5"/>
      <c r="D106" s="1"/>
      <c r="E106" s="5"/>
      <c r="G106" s="6"/>
      <c r="H106" s="1"/>
    </row>
    <row r="107" spans="2:11" x14ac:dyDescent="0.35">
      <c r="B107" s="5"/>
      <c r="C107" s="5"/>
      <c r="D107" s="1"/>
      <c r="E107" s="5"/>
      <c r="G107" s="6"/>
      <c r="H107" s="1"/>
    </row>
    <row r="108" spans="2:11" x14ac:dyDescent="0.35">
      <c r="B108" s="5"/>
      <c r="C108" s="5"/>
      <c r="D108" s="1"/>
      <c r="E108" s="5"/>
      <c r="G108" s="6"/>
      <c r="H108" s="1"/>
    </row>
    <row r="109" spans="2:11" x14ac:dyDescent="0.35">
      <c r="B109" s="5"/>
      <c r="C109" s="5"/>
      <c r="D109" s="1"/>
      <c r="E109" s="5"/>
      <c r="G109" s="6"/>
      <c r="H109" s="1"/>
    </row>
    <row r="110" spans="2:11" x14ac:dyDescent="0.35">
      <c r="B110" s="5"/>
      <c r="C110" s="5"/>
      <c r="D110" s="1"/>
      <c r="E110" s="5"/>
      <c r="G110" s="6"/>
      <c r="H110" s="1"/>
    </row>
    <row r="111" spans="2:11" x14ac:dyDescent="0.35">
      <c r="B111" s="5"/>
      <c r="C111" s="5"/>
      <c r="D111" s="1"/>
      <c r="E111" s="5"/>
      <c r="G111" s="6"/>
      <c r="H111" s="1"/>
    </row>
    <row r="112" spans="2:11" x14ac:dyDescent="0.35">
      <c r="B112" s="5"/>
      <c r="C112" s="5"/>
      <c r="D112" s="1"/>
      <c r="E112" s="5"/>
      <c r="G112" s="6"/>
      <c r="H112" s="1"/>
    </row>
    <row r="113" spans="2:8" x14ac:dyDescent="0.35">
      <c r="B113" s="5"/>
      <c r="C113" s="5"/>
      <c r="D113" s="1"/>
      <c r="E113" s="5"/>
      <c r="G113" s="6"/>
      <c r="H113" s="1"/>
    </row>
    <row r="114" spans="2:8" x14ac:dyDescent="0.35">
      <c r="B114" s="5"/>
      <c r="C114" s="5"/>
      <c r="D114" s="1"/>
      <c r="E114" s="5"/>
      <c r="G114" s="6"/>
      <c r="H114" s="1"/>
    </row>
    <row r="115" spans="2:8" x14ac:dyDescent="0.35">
      <c r="B115" s="5"/>
      <c r="C115" s="5"/>
      <c r="D115" s="1"/>
      <c r="E115" s="5"/>
      <c r="G115" s="6"/>
      <c r="H115" s="1"/>
    </row>
    <row r="116" spans="2:8" x14ac:dyDescent="0.35">
      <c r="B116" s="5"/>
      <c r="C116" s="5"/>
      <c r="D116" s="1"/>
      <c r="E116" s="5"/>
      <c r="G116" s="6"/>
      <c r="H116" s="1"/>
    </row>
    <row r="117" spans="2:8" x14ac:dyDescent="0.35">
      <c r="B117" s="5"/>
      <c r="C117" s="5"/>
      <c r="D117" s="1"/>
      <c r="E117" s="5"/>
      <c r="G117" s="6"/>
      <c r="H117" s="1"/>
    </row>
    <row r="118" spans="2:8" x14ac:dyDescent="0.35">
      <c r="B118" s="5"/>
      <c r="C118" s="5"/>
      <c r="D118" s="1"/>
      <c r="E118" s="5"/>
      <c r="G118" s="6"/>
      <c r="H118" s="1"/>
    </row>
    <row r="119" spans="2:8" x14ac:dyDescent="0.35">
      <c r="B119" s="5"/>
      <c r="C119" s="5"/>
      <c r="D119" s="1"/>
      <c r="E119" s="5"/>
      <c r="G119" s="6"/>
      <c r="H119" s="1"/>
    </row>
    <row r="120" spans="2:8" x14ac:dyDescent="0.35">
      <c r="B120" s="5"/>
      <c r="C120" s="5"/>
      <c r="D120" s="1"/>
      <c r="E120" s="5"/>
      <c r="G120" s="6"/>
      <c r="H120" s="1"/>
    </row>
    <row r="121" spans="2:8" x14ac:dyDescent="0.35">
      <c r="B121" s="5"/>
      <c r="C121" s="5"/>
      <c r="D121" s="1"/>
      <c r="E121" s="5"/>
      <c r="G121" s="6"/>
      <c r="H121" s="1"/>
    </row>
    <row r="122" spans="2:8" x14ac:dyDescent="0.35">
      <c r="B122" s="5"/>
      <c r="C122" s="5"/>
      <c r="D122" s="1"/>
      <c r="E122" s="5"/>
      <c r="G122" s="6"/>
      <c r="H122" s="1"/>
    </row>
    <row r="123" spans="2:8" x14ac:dyDescent="0.35">
      <c r="B123" s="5"/>
      <c r="C123" s="5"/>
      <c r="D123" s="1"/>
      <c r="E123" s="5"/>
      <c r="G123" s="6"/>
      <c r="H123" s="1"/>
    </row>
    <row r="124" spans="2:8" x14ac:dyDescent="0.35">
      <c r="B124" s="5"/>
      <c r="C124" s="5"/>
      <c r="D124" s="1"/>
      <c r="E124" s="5"/>
      <c r="G124" s="6"/>
      <c r="H124" s="1"/>
    </row>
    <row r="125" spans="2:8" x14ac:dyDescent="0.35">
      <c r="B125" s="5"/>
      <c r="C125" s="5"/>
      <c r="D125" s="1"/>
      <c r="E125" s="5"/>
      <c r="G125" s="6"/>
      <c r="H125" s="1"/>
    </row>
    <row r="126" spans="2:8" x14ac:dyDescent="0.35">
      <c r="B126" s="5"/>
      <c r="C126" s="5"/>
      <c r="D126" s="1"/>
      <c r="E126" s="5"/>
      <c r="G126" s="6"/>
      <c r="H126" s="1"/>
    </row>
    <row r="127" spans="2:8" x14ac:dyDescent="0.35">
      <c r="B127" s="5"/>
      <c r="C127" s="5"/>
      <c r="D127" s="1"/>
      <c r="E127" s="5"/>
      <c r="G127" s="6"/>
      <c r="H127" s="1"/>
    </row>
    <row r="128" spans="2:8" x14ac:dyDescent="0.35">
      <c r="B128" s="5"/>
      <c r="C128" s="5"/>
      <c r="D128" s="1"/>
      <c r="E128" s="5"/>
      <c r="G128" s="6"/>
      <c r="H128" s="1"/>
    </row>
    <row r="129" spans="2:8" x14ac:dyDescent="0.35">
      <c r="B129" s="5"/>
      <c r="C129" s="5"/>
      <c r="D129" s="1"/>
      <c r="E129" s="5"/>
      <c r="G129" s="6"/>
      <c r="H129" s="1"/>
    </row>
    <row r="130" spans="2:8" x14ac:dyDescent="0.35">
      <c r="B130" s="5"/>
      <c r="C130" s="5"/>
      <c r="D130" s="1"/>
      <c r="E130" s="5"/>
      <c r="G130" s="6"/>
      <c r="H130" s="1"/>
    </row>
    <row r="131" spans="2:8" x14ac:dyDescent="0.35">
      <c r="B131" s="5"/>
      <c r="C131" s="5"/>
      <c r="D131" s="1"/>
      <c r="E131" s="5"/>
      <c r="G131" s="6"/>
      <c r="H131" s="1"/>
    </row>
    <row r="132" spans="2:8" x14ac:dyDescent="0.35">
      <c r="B132" s="5"/>
      <c r="C132" s="5"/>
      <c r="D132" s="1"/>
      <c r="E132" s="5"/>
      <c r="G132" s="6"/>
      <c r="H132" s="1"/>
    </row>
    <row r="133" spans="2:8" x14ac:dyDescent="0.35">
      <c r="B133" s="5"/>
      <c r="C133" s="5"/>
      <c r="D133" s="1"/>
      <c r="E133" s="5"/>
      <c r="G133" s="6"/>
      <c r="H133" s="1"/>
    </row>
    <row r="134" spans="2:8" x14ac:dyDescent="0.35">
      <c r="B134" s="5"/>
      <c r="C134" s="5"/>
      <c r="D134" s="1"/>
      <c r="E134" s="5"/>
      <c r="G134" s="6"/>
      <c r="H134" s="1"/>
    </row>
    <row r="135" spans="2:8" x14ac:dyDescent="0.35">
      <c r="B135" s="5"/>
      <c r="C135" s="5"/>
      <c r="D135" s="1"/>
      <c r="E135" s="5"/>
      <c r="G135" s="6"/>
      <c r="H135" s="1"/>
    </row>
    <row r="136" spans="2:8" x14ac:dyDescent="0.35">
      <c r="B136" s="5"/>
      <c r="C136" s="5"/>
      <c r="D136" s="1"/>
      <c r="E136" s="5"/>
      <c r="G136" s="6"/>
      <c r="H136" s="1"/>
    </row>
    <row r="137" spans="2:8" x14ac:dyDescent="0.35">
      <c r="B137" s="5"/>
      <c r="C137" s="5"/>
      <c r="D137" s="1"/>
      <c r="E137" s="5"/>
      <c r="G137" s="6"/>
      <c r="H137" s="1"/>
    </row>
    <row r="138" spans="2:8" x14ac:dyDescent="0.35">
      <c r="B138" s="5"/>
      <c r="C138" s="5"/>
      <c r="D138" s="1"/>
      <c r="E138" s="5"/>
      <c r="G138" s="6"/>
      <c r="H138" s="1"/>
    </row>
    <row r="139" spans="2:8" x14ac:dyDescent="0.35">
      <c r="B139" s="5"/>
      <c r="C139" s="5"/>
      <c r="D139" s="1"/>
      <c r="E139" s="5"/>
      <c r="G139" s="6"/>
      <c r="H139" s="1"/>
    </row>
    <row r="140" spans="2:8" x14ac:dyDescent="0.35">
      <c r="B140" s="5"/>
      <c r="C140" s="5"/>
      <c r="D140" s="1"/>
      <c r="E140" s="5"/>
      <c r="G140" s="6"/>
      <c r="H140" s="1"/>
    </row>
    <row r="141" spans="2:8" x14ac:dyDescent="0.35">
      <c r="B141" s="5"/>
      <c r="C141" s="5"/>
      <c r="D141" s="1"/>
      <c r="E141" s="5"/>
      <c r="G141" s="6"/>
      <c r="H141" s="1"/>
    </row>
    <row r="142" spans="2:8" x14ac:dyDescent="0.35">
      <c r="B142" s="5"/>
      <c r="C142" s="5"/>
      <c r="D142" s="1"/>
      <c r="E142" s="5"/>
      <c r="G142" s="6"/>
      <c r="H142" s="1"/>
    </row>
    <row r="143" spans="2:8" x14ac:dyDescent="0.35">
      <c r="B143" s="5"/>
      <c r="C143" s="5"/>
      <c r="D143" s="1"/>
      <c r="E143" s="5"/>
      <c r="G143" s="6"/>
      <c r="H143" s="1"/>
    </row>
    <row r="144" spans="2:8" x14ac:dyDescent="0.35">
      <c r="B144" s="5"/>
      <c r="C144" s="5"/>
      <c r="D144" s="1"/>
      <c r="E144" s="5"/>
      <c r="G144" s="6"/>
      <c r="H144" s="1"/>
    </row>
    <row r="145" spans="2:8" x14ac:dyDescent="0.35">
      <c r="B145" s="5"/>
      <c r="C145" s="5"/>
      <c r="D145" s="1"/>
      <c r="E145" s="5"/>
      <c r="G145" s="6"/>
      <c r="H145" s="1"/>
    </row>
    <row r="146" spans="2:8" x14ac:dyDescent="0.35">
      <c r="B146" s="5"/>
      <c r="C146" s="5"/>
      <c r="D146" s="1"/>
      <c r="E146" s="5"/>
      <c r="G146" s="6"/>
      <c r="H146" s="1"/>
    </row>
    <row r="147" spans="2:8" x14ac:dyDescent="0.35">
      <c r="B147" s="5"/>
      <c r="C147" s="5"/>
      <c r="D147" s="1"/>
      <c r="E147" s="5"/>
      <c r="G147" s="6"/>
      <c r="H147" s="1"/>
    </row>
    <row r="148" spans="2:8" x14ac:dyDescent="0.35">
      <c r="B148" s="5"/>
      <c r="C148" s="5"/>
      <c r="D148" s="1"/>
      <c r="E148" s="5"/>
      <c r="G148" s="6"/>
      <c r="H148" s="1"/>
    </row>
    <row r="149" spans="2:8" x14ac:dyDescent="0.35">
      <c r="B149" s="5"/>
      <c r="C149" s="5"/>
      <c r="D149" s="1"/>
      <c r="E149" s="5"/>
      <c r="G149" s="6"/>
      <c r="H149" s="1"/>
    </row>
    <row r="150" spans="2:8" x14ac:dyDescent="0.35">
      <c r="B150" s="5"/>
      <c r="C150" s="5"/>
      <c r="D150" s="1"/>
      <c r="E150" s="5"/>
      <c r="G150" s="6"/>
      <c r="H150" s="1"/>
    </row>
    <row r="151" spans="2:8" x14ac:dyDescent="0.35">
      <c r="B151" s="5"/>
      <c r="C151" s="5"/>
      <c r="D151" s="1"/>
      <c r="E151" s="5"/>
      <c r="G151" s="6"/>
      <c r="H151" s="1"/>
    </row>
    <row r="152" spans="2:8" x14ac:dyDescent="0.35">
      <c r="B152" s="5"/>
      <c r="C152" s="5"/>
      <c r="D152" s="1"/>
      <c r="E152" s="5"/>
      <c r="G152" s="6"/>
      <c r="H152" s="1"/>
    </row>
    <row r="153" spans="2:8" x14ac:dyDescent="0.35">
      <c r="B153" s="5"/>
      <c r="C153" s="5"/>
      <c r="D153" s="1"/>
      <c r="E153" s="5"/>
      <c r="G153" s="6"/>
      <c r="H153" s="1"/>
    </row>
    <row r="154" spans="2:8" x14ac:dyDescent="0.35">
      <c r="B154" s="5"/>
      <c r="C154" s="5"/>
      <c r="D154" s="1"/>
      <c r="E154" s="5"/>
      <c r="G154" s="6"/>
      <c r="H154" s="1"/>
    </row>
    <row r="155" spans="2:8" x14ac:dyDescent="0.35">
      <c r="B155" s="5"/>
      <c r="C155" s="5"/>
      <c r="D155" s="1"/>
      <c r="E155" s="5"/>
      <c r="G155" s="6"/>
      <c r="H155" s="1"/>
    </row>
    <row r="156" spans="2:8" x14ac:dyDescent="0.35">
      <c r="B156" s="5"/>
      <c r="C156" s="5"/>
      <c r="D156" s="1"/>
      <c r="E156" s="5"/>
      <c r="G156" s="6"/>
      <c r="H156" s="1"/>
    </row>
    <row r="157" spans="2:8" x14ac:dyDescent="0.35">
      <c r="B157" s="5"/>
      <c r="C157" s="5"/>
      <c r="D157" s="1"/>
      <c r="E157" s="5"/>
      <c r="G157" s="6"/>
      <c r="H157" s="1"/>
    </row>
    <row r="158" spans="2:8" x14ac:dyDescent="0.35">
      <c r="B158" s="5"/>
      <c r="C158" s="5"/>
      <c r="D158" s="1"/>
      <c r="E158" s="5"/>
      <c r="G158" s="6"/>
      <c r="H158" s="1"/>
    </row>
    <row r="159" spans="2:8" x14ac:dyDescent="0.35">
      <c r="B159" s="5"/>
      <c r="C159" s="5"/>
      <c r="D159" s="1"/>
      <c r="E159" s="5"/>
      <c r="G159" s="6"/>
      <c r="H159" s="1"/>
    </row>
    <row r="160" spans="2:8" x14ac:dyDescent="0.35">
      <c r="B160" s="5"/>
      <c r="C160" s="5"/>
      <c r="D160" s="1"/>
      <c r="E160" s="5"/>
      <c r="G160" s="6"/>
      <c r="H160" s="1"/>
    </row>
    <row r="161" spans="2:8" x14ac:dyDescent="0.35">
      <c r="B161" s="5"/>
      <c r="C161" s="5"/>
      <c r="D161" s="1"/>
      <c r="E161" s="5"/>
      <c r="G161" s="6"/>
      <c r="H161" s="1"/>
    </row>
    <row r="162" spans="2:8" x14ac:dyDescent="0.35">
      <c r="B162" s="5"/>
      <c r="C162" s="5"/>
      <c r="D162" s="1"/>
      <c r="E162" s="5"/>
      <c r="G162" s="6"/>
      <c r="H162" s="1"/>
    </row>
    <row r="163" spans="2:8" x14ac:dyDescent="0.35">
      <c r="B163" s="5"/>
      <c r="C163" s="5"/>
      <c r="D163" s="1"/>
      <c r="E163" s="5"/>
      <c r="G163" s="6"/>
      <c r="H163" s="1"/>
    </row>
    <row r="164" spans="2:8" x14ac:dyDescent="0.35">
      <c r="B164" s="5"/>
      <c r="C164" s="5"/>
      <c r="D164" s="1"/>
      <c r="E164" s="5"/>
      <c r="G164" s="6"/>
      <c r="H164" s="1"/>
    </row>
    <row r="165" spans="2:8" x14ac:dyDescent="0.35">
      <c r="B165" s="5"/>
      <c r="C165" s="5"/>
      <c r="D165" s="1"/>
      <c r="E165" s="5"/>
      <c r="G165" s="6"/>
      <c r="H165" s="1"/>
    </row>
    <row r="166" spans="2:8" x14ac:dyDescent="0.35">
      <c r="B166" s="5"/>
      <c r="C166" s="5"/>
      <c r="D166" s="1"/>
      <c r="E166" s="5"/>
      <c r="G166" s="6"/>
      <c r="H166" s="1"/>
    </row>
    <row r="167" spans="2:8" x14ac:dyDescent="0.35">
      <c r="B167" s="5"/>
      <c r="C167" s="5"/>
      <c r="D167" s="1"/>
      <c r="E167" s="5"/>
      <c r="G167" s="6"/>
      <c r="H167" s="1"/>
    </row>
    <row r="168" spans="2:8" x14ac:dyDescent="0.35">
      <c r="B168" s="5"/>
      <c r="C168" s="5"/>
      <c r="D168" s="1"/>
      <c r="E168" s="5"/>
      <c r="G168" s="6"/>
      <c r="H168" s="1"/>
    </row>
    <row r="169" spans="2:8" x14ac:dyDescent="0.35">
      <c r="B169" s="5"/>
      <c r="C169" s="5"/>
      <c r="D169" s="1"/>
      <c r="E169" s="5"/>
      <c r="G169" s="6"/>
      <c r="H169" s="1"/>
    </row>
    <row r="170" spans="2:8" x14ac:dyDescent="0.35">
      <c r="B170" s="5"/>
      <c r="C170" s="5"/>
      <c r="D170" s="1"/>
      <c r="E170" s="5"/>
      <c r="G170" s="6"/>
      <c r="H170" s="1"/>
    </row>
    <row r="171" spans="2:8" x14ac:dyDescent="0.35">
      <c r="B171" s="5"/>
      <c r="C171" s="5"/>
      <c r="D171" s="1"/>
      <c r="E171" s="5"/>
      <c r="G171" s="6"/>
      <c r="H171" s="1"/>
    </row>
    <row r="172" spans="2:8" x14ac:dyDescent="0.35">
      <c r="B172" s="5"/>
      <c r="C172" s="5"/>
      <c r="D172" s="1"/>
      <c r="E172" s="5"/>
      <c r="G172" s="6"/>
      <c r="H172" s="1"/>
    </row>
    <row r="173" spans="2:8" x14ac:dyDescent="0.35">
      <c r="B173" s="5"/>
      <c r="C173" s="5"/>
      <c r="D173" s="1"/>
      <c r="E173" s="5"/>
      <c r="G173" s="6"/>
      <c r="H173" s="1"/>
    </row>
    <row r="174" spans="2:8" x14ac:dyDescent="0.35">
      <c r="B174" s="5"/>
      <c r="C174" s="5"/>
      <c r="D174" s="1"/>
      <c r="E174" s="5"/>
      <c r="G174" s="6"/>
      <c r="H174" s="1"/>
    </row>
    <row r="175" spans="2:8" x14ac:dyDescent="0.35">
      <c r="B175" s="5"/>
      <c r="C175" s="5"/>
      <c r="D175" s="1"/>
      <c r="E175" s="5"/>
      <c r="G175" s="6"/>
      <c r="H175" s="1"/>
    </row>
    <row r="176" spans="2:8" x14ac:dyDescent="0.35">
      <c r="B176" s="5"/>
      <c r="C176" s="5"/>
      <c r="D176" s="1"/>
      <c r="E176" s="5"/>
      <c r="G176" s="6"/>
      <c r="H176" s="1"/>
    </row>
    <row r="177" spans="2:8" x14ac:dyDescent="0.35">
      <c r="B177" s="5"/>
      <c r="C177" s="5"/>
      <c r="D177" s="1"/>
      <c r="E177" s="5"/>
      <c r="G177" s="6"/>
      <c r="H177" s="1"/>
    </row>
    <row r="178" spans="2:8" x14ac:dyDescent="0.35">
      <c r="B178" s="5"/>
      <c r="C178" s="5"/>
      <c r="D178" s="1"/>
      <c r="E178" s="5"/>
      <c r="G178" s="6"/>
      <c r="H178" s="1"/>
    </row>
    <row r="179" spans="2:8" x14ac:dyDescent="0.35">
      <c r="B179" s="5"/>
      <c r="C179" s="5"/>
      <c r="D179" s="1"/>
      <c r="E179" s="5"/>
      <c r="G179" s="6"/>
      <c r="H179" s="1"/>
    </row>
    <row r="180" spans="2:8" x14ac:dyDescent="0.35">
      <c r="B180" s="5"/>
      <c r="C180" s="5"/>
      <c r="D180" s="1"/>
      <c r="E180" s="5"/>
      <c r="G180" s="6"/>
      <c r="H180" s="1"/>
    </row>
    <row r="181" spans="2:8" x14ac:dyDescent="0.35">
      <c r="B181" s="5"/>
      <c r="C181" s="5"/>
      <c r="D181" s="1"/>
      <c r="E181" s="5"/>
      <c r="G181" s="6"/>
      <c r="H181" s="1"/>
    </row>
    <row r="182" spans="2:8" x14ac:dyDescent="0.35">
      <c r="B182" s="5"/>
      <c r="C182" s="5"/>
      <c r="D182" s="1"/>
      <c r="E182" s="5"/>
      <c r="G182" s="6"/>
      <c r="H182" s="1"/>
    </row>
    <row r="183" spans="2:8" x14ac:dyDescent="0.35">
      <c r="B183" s="5"/>
      <c r="C183" s="5"/>
      <c r="D183" s="1"/>
      <c r="E183" s="5"/>
      <c r="G183" s="6"/>
      <c r="H183" s="1"/>
    </row>
    <row r="184" spans="2:8" x14ac:dyDescent="0.35">
      <c r="B184" s="5"/>
      <c r="C184" s="5"/>
      <c r="D184" s="1"/>
      <c r="E184" s="5"/>
      <c r="G184" s="6"/>
      <c r="H184" s="1"/>
    </row>
    <row r="185" spans="2:8" x14ac:dyDescent="0.35">
      <c r="B185" s="5"/>
      <c r="C185" s="5"/>
      <c r="D185" s="1"/>
      <c r="E185" s="5"/>
      <c r="G185" s="6"/>
      <c r="H185" s="1"/>
    </row>
    <row r="186" spans="2:8" x14ac:dyDescent="0.35">
      <c r="B186" s="5"/>
      <c r="C186" s="5"/>
      <c r="D186" s="1"/>
      <c r="E186" s="5"/>
      <c r="G186" s="6"/>
      <c r="H186" s="1"/>
    </row>
    <row r="187" spans="2:8" x14ac:dyDescent="0.35">
      <c r="B187" s="5"/>
      <c r="C187" s="5"/>
      <c r="D187" s="1"/>
      <c r="E187" s="5"/>
      <c r="G187" s="6"/>
      <c r="H187" s="1"/>
    </row>
    <row r="188" spans="2:8" x14ac:dyDescent="0.35">
      <c r="B188" s="5"/>
      <c r="C188" s="5"/>
      <c r="D188" s="1"/>
      <c r="E188" s="5"/>
      <c r="G188" s="6"/>
      <c r="H188" s="1"/>
    </row>
    <row r="189" spans="2:8" x14ac:dyDescent="0.35">
      <c r="B189" s="5"/>
      <c r="C189" s="5"/>
      <c r="D189" s="1"/>
      <c r="E189" s="5"/>
      <c r="G189" s="6"/>
      <c r="H189" s="1"/>
    </row>
    <row r="190" spans="2:8" x14ac:dyDescent="0.35">
      <c r="B190" s="5"/>
      <c r="C190" s="5"/>
      <c r="D190" s="1"/>
      <c r="E190" s="5"/>
      <c r="G190" s="6"/>
      <c r="H190" s="1"/>
    </row>
    <row r="191" spans="2:8" x14ac:dyDescent="0.35">
      <c r="B191" s="5"/>
      <c r="C191" s="5"/>
      <c r="D191" s="1"/>
      <c r="E191" s="5"/>
      <c r="G191" s="6"/>
      <c r="H191" s="1"/>
    </row>
    <row r="192" spans="2:8" x14ac:dyDescent="0.35">
      <c r="B192" s="5"/>
      <c r="C192" s="5"/>
      <c r="D192" s="1"/>
      <c r="E192" s="5"/>
      <c r="G192" s="6"/>
      <c r="H192" s="1"/>
    </row>
    <row r="193" spans="2:8" x14ac:dyDescent="0.35">
      <c r="B193" s="5"/>
      <c r="C193" s="5"/>
      <c r="D193" s="1"/>
      <c r="E193" s="5"/>
      <c r="G193" s="6"/>
      <c r="H193" s="1"/>
    </row>
    <row r="194" spans="2:8" x14ac:dyDescent="0.35">
      <c r="B194" s="5"/>
      <c r="C194" s="5"/>
      <c r="D194" s="1"/>
      <c r="E194" s="5"/>
      <c r="G194" s="6"/>
      <c r="H194" s="1"/>
    </row>
    <row r="195" spans="2:8" x14ac:dyDescent="0.35">
      <c r="B195" s="5"/>
      <c r="C195" s="5"/>
      <c r="D195" s="1"/>
      <c r="E195" s="5"/>
      <c r="G195" s="6"/>
      <c r="H195" s="1"/>
    </row>
    <row r="196" spans="2:8" x14ac:dyDescent="0.35">
      <c r="B196" s="5"/>
      <c r="C196" s="5"/>
      <c r="D196" s="1"/>
      <c r="E196" s="5"/>
      <c r="G196" s="6"/>
      <c r="H196" s="1"/>
    </row>
    <row r="197" spans="2:8" x14ac:dyDescent="0.35">
      <c r="B197" s="5"/>
      <c r="C197" s="5"/>
      <c r="D197" s="1"/>
      <c r="E197" s="5"/>
      <c r="G197" s="6"/>
      <c r="H197" s="1"/>
    </row>
    <row r="198" spans="2:8" x14ac:dyDescent="0.35">
      <c r="B198" s="5"/>
      <c r="C198" s="5"/>
      <c r="D198" s="1"/>
      <c r="E198" s="5"/>
      <c r="G198" s="6"/>
      <c r="H198" s="1"/>
    </row>
    <row r="199" spans="2:8" x14ac:dyDescent="0.35">
      <c r="B199" s="5"/>
      <c r="C199" s="5"/>
      <c r="D199" s="1"/>
      <c r="E199" s="5"/>
      <c r="G199" s="6"/>
      <c r="H199" s="1"/>
    </row>
    <row r="200" spans="2:8" x14ac:dyDescent="0.35">
      <c r="B200" s="5"/>
      <c r="C200" s="5"/>
      <c r="D200" s="1"/>
      <c r="E200" s="5"/>
      <c r="G200" s="6"/>
      <c r="H200" s="1"/>
    </row>
    <row r="201" spans="2:8" x14ac:dyDescent="0.35">
      <c r="B201" s="5"/>
      <c r="C201" s="5"/>
      <c r="D201" s="1"/>
      <c r="E201" s="5"/>
      <c r="G201" s="6"/>
      <c r="H201" s="1"/>
    </row>
    <row r="202" spans="2:8" x14ac:dyDescent="0.35">
      <c r="B202" s="5"/>
      <c r="C202" s="5"/>
      <c r="D202" s="1"/>
      <c r="E202" s="5"/>
      <c r="G202" s="6"/>
      <c r="H202" s="1"/>
    </row>
    <row r="203" spans="2:8" x14ac:dyDescent="0.35">
      <c r="B203" s="5"/>
      <c r="C203" s="5"/>
      <c r="D203" s="1"/>
      <c r="E203" s="5"/>
      <c r="G203" s="6"/>
      <c r="H203" s="1"/>
    </row>
    <row r="204" spans="2:8" x14ac:dyDescent="0.35">
      <c r="B204" s="5"/>
      <c r="C204" s="5"/>
      <c r="D204" s="1"/>
      <c r="E204" s="5"/>
      <c r="G204" s="6"/>
      <c r="H204" s="1"/>
    </row>
    <row r="205" spans="2:8" x14ac:dyDescent="0.35">
      <c r="B205" s="5"/>
      <c r="C205" s="5"/>
      <c r="D205" s="1"/>
      <c r="E205" s="5"/>
      <c r="G205" s="6"/>
      <c r="H205" s="1"/>
    </row>
    <row r="206" spans="2:8" x14ac:dyDescent="0.35">
      <c r="B206" s="5"/>
      <c r="C206" s="5"/>
      <c r="D206" s="1"/>
      <c r="E206" s="5"/>
      <c r="G206" s="6"/>
      <c r="H206" s="1"/>
    </row>
    <row r="207" spans="2:8" x14ac:dyDescent="0.35">
      <c r="B207" s="5"/>
      <c r="C207" s="5"/>
      <c r="D207" s="1"/>
      <c r="E207" s="5"/>
      <c r="G207" s="6"/>
      <c r="H207" s="1"/>
    </row>
    <row r="208" spans="2:8" x14ac:dyDescent="0.35">
      <c r="B208" s="5"/>
      <c r="C208" s="5"/>
      <c r="D208" s="1"/>
      <c r="E208" s="5"/>
      <c r="G208" s="6"/>
      <c r="H208" s="1"/>
    </row>
    <row r="209" spans="2:8" x14ac:dyDescent="0.35">
      <c r="B209" s="5"/>
      <c r="C209" s="5"/>
      <c r="D209" s="1"/>
      <c r="E209" s="5"/>
      <c r="G209" s="6"/>
      <c r="H209" s="1"/>
    </row>
    <row r="210" spans="2:8" x14ac:dyDescent="0.35">
      <c r="B210" s="5"/>
      <c r="C210" s="5"/>
      <c r="D210" s="1"/>
      <c r="E210" s="5"/>
      <c r="G210" s="6"/>
      <c r="H210" s="1"/>
    </row>
    <row r="211" spans="2:8" x14ac:dyDescent="0.35">
      <c r="B211" s="5"/>
      <c r="C211" s="5"/>
      <c r="D211" s="1"/>
      <c r="E211" s="5"/>
      <c r="G211" s="6"/>
      <c r="H211" s="1"/>
    </row>
    <row r="212" spans="2:8" x14ac:dyDescent="0.35">
      <c r="B212" s="5"/>
      <c r="C212" s="5"/>
      <c r="D212" s="1"/>
      <c r="E212" s="5"/>
      <c r="G212" s="6"/>
      <c r="H212" s="1"/>
    </row>
    <row r="213" spans="2:8" x14ac:dyDescent="0.35">
      <c r="B213" s="5"/>
      <c r="C213" s="5"/>
      <c r="D213" s="1"/>
      <c r="E213" s="5"/>
      <c r="G213" s="6"/>
      <c r="H213" s="1"/>
    </row>
    <row r="214" spans="2:8" x14ac:dyDescent="0.35">
      <c r="B214" s="5"/>
      <c r="C214" s="5"/>
      <c r="D214" s="1"/>
      <c r="E214" s="5"/>
      <c r="G214" s="6"/>
      <c r="H214" s="1"/>
    </row>
    <row r="215" spans="2:8" x14ac:dyDescent="0.35">
      <c r="B215" s="5"/>
      <c r="C215" s="5"/>
      <c r="D215" s="1"/>
      <c r="E215" s="5"/>
      <c r="G215" s="6"/>
      <c r="H215" s="1"/>
    </row>
    <row r="216" spans="2:8" x14ac:dyDescent="0.35">
      <c r="B216" s="5"/>
      <c r="C216" s="5"/>
      <c r="D216" s="1"/>
      <c r="E216" s="5"/>
      <c r="G216" s="6"/>
      <c r="H216" s="1"/>
    </row>
    <row r="217" spans="2:8" x14ac:dyDescent="0.35">
      <c r="B217" s="5"/>
      <c r="C217" s="5"/>
      <c r="D217" s="1"/>
      <c r="E217" s="5"/>
      <c r="G217" s="6"/>
      <c r="H217" s="1"/>
    </row>
    <row r="218" spans="2:8" x14ac:dyDescent="0.35">
      <c r="B218" s="5"/>
      <c r="C218" s="5"/>
      <c r="D218" s="1"/>
      <c r="E218" s="5"/>
      <c r="G218" s="6"/>
      <c r="H218" s="1"/>
    </row>
    <row r="219" spans="2:8" x14ac:dyDescent="0.35">
      <c r="B219" s="5"/>
      <c r="C219" s="5"/>
      <c r="D219" s="1"/>
      <c r="E219" s="5"/>
      <c r="G219" s="6"/>
      <c r="H219" s="1"/>
    </row>
    <row r="220" spans="2:8" x14ac:dyDescent="0.35">
      <c r="B220" s="5"/>
      <c r="C220" s="5"/>
      <c r="D220" s="1"/>
      <c r="E220" s="5"/>
      <c r="G220" s="6"/>
      <c r="H220" s="1"/>
    </row>
    <row r="221" spans="2:8" x14ac:dyDescent="0.35">
      <c r="B221" s="5"/>
      <c r="C221" s="5"/>
      <c r="D221" s="1"/>
      <c r="E221" s="5"/>
      <c r="G221" s="6"/>
      <c r="H221" s="1"/>
    </row>
    <row r="222" spans="2:8" x14ac:dyDescent="0.35">
      <c r="B222" s="5"/>
      <c r="C222" s="5"/>
      <c r="D222" s="1"/>
      <c r="E222" s="5"/>
      <c r="G222" s="6"/>
      <c r="H222" s="1"/>
    </row>
    <row r="223" spans="2:8" x14ac:dyDescent="0.35">
      <c r="B223" s="5"/>
      <c r="C223" s="5"/>
      <c r="D223" s="1"/>
      <c r="E223" s="5"/>
      <c r="G223" s="6"/>
      <c r="H223" s="1"/>
    </row>
    <row r="224" spans="2:8" x14ac:dyDescent="0.35">
      <c r="B224" s="5"/>
      <c r="C224" s="5"/>
      <c r="D224" s="1"/>
      <c r="E224" s="5"/>
      <c r="G224" s="6"/>
      <c r="H224" s="1"/>
    </row>
    <row r="225" spans="2:8" x14ac:dyDescent="0.35">
      <c r="B225" s="5"/>
      <c r="C225" s="5"/>
      <c r="D225" s="1"/>
      <c r="E225" s="5"/>
      <c r="G225" s="6"/>
      <c r="H225" s="1"/>
    </row>
    <row r="226" spans="2:8" x14ac:dyDescent="0.35">
      <c r="B226" s="5"/>
      <c r="C226" s="5"/>
      <c r="D226" s="1"/>
      <c r="E226" s="5"/>
      <c r="G226" s="6"/>
      <c r="H226" s="1"/>
    </row>
    <row r="227" spans="2:8" x14ac:dyDescent="0.35">
      <c r="B227" s="5"/>
      <c r="C227" s="5"/>
      <c r="D227" s="1"/>
      <c r="E227" s="5"/>
      <c r="G227" s="6"/>
      <c r="H227" s="1"/>
    </row>
    <row r="228" spans="2:8" x14ac:dyDescent="0.35">
      <c r="B228" s="5"/>
      <c r="C228" s="5"/>
      <c r="D228" s="1"/>
      <c r="E228" s="5"/>
      <c r="G228" s="6"/>
      <c r="H228" s="1"/>
    </row>
    <row r="229" spans="2:8" x14ac:dyDescent="0.35">
      <c r="B229" s="5"/>
      <c r="C229" s="5"/>
      <c r="D229" s="1"/>
      <c r="E229" s="5"/>
      <c r="G229" s="6"/>
      <c r="H229" s="1"/>
    </row>
    <row r="230" spans="2:8" x14ac:dyDescent="0.35">
      <c r="B230" s="5"/>
      <c r="C230" s="5"/>
      <c r="D230" s="1"/>
      <c r="E230" s="5"/>
      <c r="G230" s="6"/>
      <c r="H230" s="1"/>
    </row>
    <row r="231" spans="2:8" x14ac:dyDescent="0.35">
      <c r="B231" s="5"/>
      <c r="C231" s="5"/>
      <c r="D231" s="1"/>
      <c r="E231" s="5"/>
      <c r="G231" s="6"/>
      <c r="H231" s="1"/>
    </row>
    <row r="232" spans="2:8" x14ac:dyDescent="0.35">
      <c r="B232" s="5"/>
      <c r="C232" s="5"/>
      <c r="D232" s="1"/>
      <c r="E232" s="5"/>
      <c r="G232" s="6"/>
      <c r="H232" s="1"/>
    </row>
    <row r="233" spans="2:8" x14ac:dyDescent="0.35">
      <c r="B233" s="5"/>
      <c r="C233" s="5"/>
      <c r="D233" s="1"/>
      <c r="E233" s="5"/>
      <c r="G233" s="6"/>
      <c r="H233" s="1"/>
    </row>
    <row r="234" spans="2:8" x14ac:dyDescent="0.35">
      <c r="B234" s="5"/>
      <c r="C234" s="5"/>
      <c r="D234" s="1"/>
      <c r="E234" s="5"/>
      <c r="G234" s="6"/>
      <c r="H234" s="1"/>
    </row>
    <row r="235" spans="2:8" x14ac:dyDescent="0.35">
      <c r="B235" s="5"/>
      <c r="C235" s="5"/>
      <c r="D235" s="1"/>
      <c r="E235" s="5"/>
      <c r="G235" s="6"/>
      <c r="H235" s="1"/>
    </row>
    <row r="236" spans="2:8" x14ac:dyDescent="0.35">
      <c r="B236" s="5"/>
      <c r="C236" s="5"/>
      <c r="D236" s="1"/>
      <c r="E236" s="5"/>
      <c r="G236" s="6"/>
      <c r="H236" s="1"/>
    </row>
    <row r="237" spans="2:8" x14ac:dyDescent="0.35">
      <c r="B237" s="5"/>
      <c r="C237" s="5"/>
      <c r="D237" s="1"/>
      <c r="E237" s="5"/>
      <c r="G237" s="6"/>
      <c r="H237" s="1"/>
    </row>
    <row r="238" spans="2:8" x14ac:dyDescent="0.35">
      <c r="B238" s="5"/>
      <c r="C238" s="5"/>
      <c r="D238" s="1"/>
      <c r="E238" s="5"/>
      <c r="G238" s="6"/>
      <c r="H238" s="1"/>
    </row>
    <row r="239" spans="2:8" x14ac:dyDescent="0.35">
      <c r="B239" s="5"/>
      <c r="C239" s="5"/>
      <c r="D239" s="1"/>
      <c r="E239" s="5"/>
      <c r="G239" s="6"/>
      <c r="H239" s="1"/>
    </row>
    <row r="240" spans="2:8" x14ac:dyDescent="0.35">
      <c r="B240" s="5"/>
      <c r="C240" s="5"/>
      <c r="D240" s="1"/>
      <c r="E240" s="5"/>
      <c r="G240" s="6"/>
      <c r="H240" s="1"/>
    </row>
    <row r="241" spans="2:8" x14ac:dyDescent="0.35">
      <c r="B241" s="5"/>
      <c r="C241" s="5"/>
      <c r="D241" s="1"/>
      <c r="E241" s="5"/>
      <c r="G241" s="6"/>
      <c r="H241" s="1"/>
    </row>
    <row r="242" spans="2:8" x14ac:dyDescent="0.35">
      <c r="B242" s="5"/>
      <c r="C242" s="5"/>
      <c r="D242" s="1"/>
      <c r="E242" s="5"/>
      <c r="G242" s="6"/>
      <c r="H242" s="1"/>
    </row>
    <row r="243" spans="2:8" x14ac:dyDescent="0.35">
      <c r="B243" s="5"/>
      <c r="C243" s="5"/>
      <c r="D243" s="1"/>
      <c r="E243" s="5"/>
      <c r="G243" s="6"/>
      <c r="H243" s="1"/>
    </row>
    <row r="244" spans="2:8" x14ac:dyDescent="0.35">
      <c r="B244" s="5"/>
      <c r="C244" s="5"/>
      <c r="D244" s="1"/>
      <c r="E244" s="5"/>
      <c r="G244" s="6"/>
      <c r="H244" s="1"/>
    </row>
    <row r="245" spans="2:8" x14ac:dyDescent="0.35">
      <c r="B245" s="5"/>
      <c r="C245" s="5"/>
      <c r="D245" s="1"/>
      <c r="E245" s="5"/>
      <c r="G245" s="6"/>
      <c r="H245" s="1"/>
    </row>
    <row r="246" spans="2:8" x14ac:dyDescent="0.35">
      <c r="B246" s="5"/>
      <c r="C246" s="5"/>
      <c r="D246" s="1"/>
      <c r="E246" s="5"/>
      <c r="G246" s="6"/>
      <c r="H246" s="1"/>
    </row>
    <row r="247" spans="2:8" x14ac:dyDescent="0.35">
      <c r="B247" s="5"/>
      <c r="C247" s="5"/>
      <c r="D247" s="1"/>
      <c r="E247" s="5"/>
      <c r="G247" s="6"/>
      <c r="H247" s="1"/>
    </row>
    <row r="248" spans="2:8" x14ac:dyDescent="0.35">
      <c r="B248" s="5"/>
      <c r="C248" s="5"/>
      <c r="D248" s="1"/>
      <c r="E248" s="5"/>
      <c r="G248" s="6"/>
      <c r="H248" s="1"/>
    </row>
    <row r="249" spans="2:8" x14ac:dyDescent="0.35">
      <c r="B249" s="5"/>
      <c r="C249" s="5"/>
      <c r="D249" s="1"/>
      <c r="E249" s="5"/>
      <c r="G249" s="6"/>
      <c r="H249" s="1"/>
    </row>
    <row r="250" spans="2:8" x14ac:dyDescent="0.35">
      <c r="B250" s="5"/>
      <c r="C250" s="5"/>
      <c r="D250" s="1"/>
      <c r="E250" s="5"/>
      <c r="G250" s="6"/>
      <c r="H250" s="1"/>
    </row>
    <row r="251" spans="2:8" x14ac:dyDescent="0.35">
      <c r="B251" s="5"/>
      <c r="C251" s="5"/>
      <c r="D251" s="1"/>
      <c r="E251" s="5"/>
      <c r="G251" s="6"/>
      <c r="H251" s="1"/>
    </row>
    <row r="252" spans="2:8" x14ac:dyDescent="0.35">
      <c r="B252" s="5"/>
      <c r="C252" s="5"/>
      <c r="D252" s="1"/>
      <c r="E252" s="5"/>
      <c r="G252" s="6"/>
      <c r="H252" s="1"/>
    </row>
    <row r="253" spans="2:8" x14ac:dyDescent="0.35">
      <c r="B253" s="5"/>
      <c r="C253" s="5"/>
      <c r="D253" s="1"/>
      <c r="E253" s="5"/>
      <c r="G253" s="6"/>
      <c r="H253" s="1"/>
    </row>
    <row r="254" spans="2:8" x14ac:dyDescent="0.35">
      <c r="B254" s="5"/>
      <c r="C254" s="5"/>
      <c r="D254" s="1"/>
      <c r="E254" s="5"/>
      <c r="G254" s="6"/>
      <c r="H254" s="1"/>
    </row>
    <row r="255" spans="2:8" x14ac:dyDescent="0.35">
      <c r="B255" s="5"/>
      <c r="C255" s="5"/>
      <c r="D255" s="1"/>
      <c r="E255" s="5"/>
      <c r="G255" s="6"/>
      <c r="H255" s="1"/>
    </row>
    <row r="256" spans="2:8" x14ac:dyDescent="0.35">
      <c r="B256" s="5"/>
      <c r="C256" s="5"/>
      <c r="D256" s="1"/>
      <c r="E256" s="5"/>
      <c r="G256" s="6"/>
      <c r="H256" s="1"/>
    </row>
    <row r="257" spans="2:8" x14ac:dyDescent="0.35">
      <c r="B257" s="5"/>
      <c r="C257" s="5"/>
      <c r="D257" s="1"/>
      <c r="E257" s="5"/>
      <c r="G257" s="6"/>
      <c r="H257" s="1"/>
    </row>
    <row r="258" spans="2:8" x14ac:dyDescent="0.35">
      <c r="B258" s="5"/>
      <c r="C258" s="5"/>
      <c r="D258" s="1"/>
      <c r="E258" s="5"/>
      <c r="G258" s="6"/>
      <c r="H258" s="1"/>
    </row>
    <row r="259" spans="2:8" x14ac:dyDescent="0.35">
      <c r="B259" s="5"/>
      <c r="C259" s="5"/>
      <c r="D259" s="1"/>
      <c r="E259" s="5"/>
      <c r="G259" s="6"/>
      <c r="H259" s="1"/>
    </row>
    <row r="260" spans="2:8" x14ac:dyDescent="0.35">
      <c r="B260" s="5"/>
      <c r="C260" s="5"/>
      <c r="D260" s="1"/>
      <c r="E260" s="5"/>
      <c r="G260" s="6"/>
      <c r="H260" s="1"/>
    </row>
    <row r="261" spans="2:8" x14ac:dyDescent="0.35">
      <c r="B261" s="5"/>
      <c r="C261" s="5"/>
      <c r="D261" s="1"/>
      <c r="E261" s="5"/>
      <c r="G261" s="6"/>
      <c r="H261" s="1"/>
    </row>
    <row r="262" spans="2:8" x14ac:dyDescent="0.35">
      <c r="B262" s="5"/>
      <c r="C262" s="5"/>
      <c r="D262" s="1"/>
      <c r="E262" s="5"/>
      <c r="G262" s="6"/>
      <c r="H262" s="1"/>
    </row>
    <row r="263" spans="2:8" x14ac:dyDescent="0.35">
      <c r="B263" s="5"/>
      <c r="C263" s="5"/>
      <c r="D263" s="1"/>
      <c r="E263" s="5"/>
      <c r="G263" s="6"/>
      <c r="H263" s="1"/>
    </row>
    <row r="264" spans="2:8" x14ac:dyDescent="0.35">
      <c r="B264" s="5"/>
      <c r="C264" s="5"/>
      <c r="D264" s="1"/>
      <c r="E264" s="5"/>
      <c r="G264" s="6"/>
      <c r="H264" s="1"/>
    </row>
    <row r="265" spans="2:8" x14ac:dyDescent="0.35">
      <c r="B265" s="5"/>
      <c r="C265" s="5"/>
      <c r="D265" s="1"/>
      <c r="E265" s="5"/>
      <c r="G265" s="6"/>
      <c r="H265" s="1"/>
    </row>
    <row r="266" spans="2:8" x14ac:dyDescent="0.35">
      <c r="B266" s="5"/>
      <c r="C266" s="5"/>
      <c r="D266" s="1"/>
      <c r="E266" s="5"/>
      <c r="G266" s="6"/>
      <c r="H266" s="1"/>
    </row>
    <row r="267" spans="2:8" x14ac:dyDescent="0.35">
      <c r="B267" s="5"/>
      <c r="C267" s="5"/>
      <c r="D267" s="1"/>
      <c r="E267" s="5"/>
      <c r="G267" s="6"/>
      <c r="H267" s="1"/>
    </row>
    <row r="268" spans="2:8" x14ac:dyDescent="0.35">
      <c r="B268" s="5"/>
      <c r="C268" s="5"/>
      <c r="D268" s="1"/>
      <c r="E268" s="5"/>
      <c r="G268" s="6"/>
      <c r="H268" s="1"/>
    </row>
    <row r="269" spans="2:8" x14ac:dyDescent="0.35">
      <c r="B269" s="5"/>
      <c r="C269" s="5"/>
      <c r="D269" s="1"/>
      <c r="E269" s="5"/>
      <c r="G269" s="6"/>
      <c r="H269" s="1"/>
    </row>
    <row r="270" spans="2:8" x14ac:dyDescent="0.35">
      <c r="B270" s="5"/>
      <c r="C270" s="5"/>
      <c r="D270" s="1"/>
      <c r="E270" s="5"/>
      <c r="G270" s="6"/>
      <c r="H270" s="1"/>
    </row>
    <row r="271" spans="2:8" x14ac:dyDescent="0.35">
      <c r="B271" s="5"/>
      <c r="C271" s="5"/>
      <c r="D271" s="1"/>
      <c r="E271" s="5"/>
      <c r="G271" s="6"/>
      <c r="H271" s="1"/>
    </row>
    <row r="272" spans="2:8" x14ac:dyDescent="0.35">
      <c r="B272" s="5"/>
      <c r="C272" s="5"/>
      <c r="D272" s="1"/>
      <c r="E272" s="5"/>
      <c r="G272" s="6"/>
      <c r="H272" s="1"/>
    </row>
    <row r="273" spans="2:8" x14ac:dyDescent="0.35">
      <c r="B273" s="5"/>
      <c r="C273" s="5"/>
      <c r="D273" s="1"/>
      <c r="E273" s="5"/>
      <c r="G273" s="6"/>
      <c r="H273" s="1"/>
    </row>
    <row r="274" spans="2:8" x14ac:dyDescent="0.35">
      <c r="B274" s="5"/>
      <c r="C274" s="5"/>
      <c r="D274" s="1"/>
      <c r="E274" s="5"/>
      <c r="G274" s="6"/>
      <c r="H274" s="1"/>
    </row>
    <row r="275" spans="2:8" x14ac:dyDescent="0.35">
      <c r="B275" s="5"/>
      <c r="C275" s="5"/>
      <c r="D275" s="1"/>
      <c r="E275" s="5"/>
      <c r="G275" s="6"/>
      <c r="H275" s="1"/>
    </row>
    <row r="276" spans="2:8" x14ac:dyDescent="0.35">
      <c r="B276" s="5"/>
      <c r="C276" s="5"/>
      <c r="D276" s="1"/>
      <c r="E276" s="5"/>
      <c r="G276" s="6"/>
      <c r="H276" s="1"/>
    </row>
    <row r="277" spans="2:8" x14ac:dyDescent="0.35">
      <c r="B277" s="5"/>
      <c r="C277" s="5"/>
      <c r="D277" s="1"/>
      <c r="E277" s="5"/>
      <c r="G277" s="6"/>
      <c r="H277" s="1"/>
    </row>
    <row r="278" spans="2:8" x14ac:dyDescent="0.35">
      <c r="B278" s="5"/>
      <c r="C278" s="5"/>
      <c r="D278" s="1"/>
      <c r="E278" s="5"/>
      <c r="G278" s="6"/>
      <c r="H278" s="1"/>
    </row>
    <row r="279" spans="2:8" x14ac:dyDescent="0.35">
      <c r="B279" s="5"/>
      <c r="C279" s="5"/>
      <c r="D279" s="1"/>
      <c r="E279" s="5"/>
      <c r="G279" s="6"/>
      <c r="H279" s="1"/>
    </row>
    <row r="280" spans="2:8" x14ac:dyDescent="0.35">
      <c r="B280" s="5"/>
      <c r="C280" s="5"/>
      <c r="D280" s="1"/>
      <c r="E280" s="5"/>
      <c r="G280" s="6"/>
      <c r="H280" s="1"/>
    </row>
    <row r="281" spans="2:8" x14ac:dyDescent="0.35">
      <c r="B281" s="5"/>
      <c r="C281" s="5"/>
      <c r="D281" s="1"/>
      <c r="E281" s="5"/>
      <c r="G281" s="6"/>
      <c r="H281" s="1"/>
    </row>
    <row r="282" spans="2:8" x14ac:dyDescent="0.35">
      <c r="B282" s="5"/>
      <c r="C282" s="5"/>
      <c r="D282" s="1"/>
      <c r="E282" s="5"/>
      <c r="G282" s="6"/>
      <c r="H282" s="1"/>
    </row>
    <row r="283" spans="2:8" x14ac:dyDescent="0.35">
      <c r="B283" s="5"/>
      <c r="C283" s="5"/>
      <c r="D283" s="1"/>
      <c r="E283" s="5"/>
      <c r="G283" s="6"/>
      <c r="H283" s="1"/>
    </row>
    <row r="284" spans="2:8" x14ac:dyDescent="0.35">
      <c r="B284" s="5"/>
      <c r="C284" s="5"/>
      <c r="D284" s="1"/>
      <c r="E284" s="5"/>
      <c r="G284" s="6"/>
      <c r="H284" s="1"/>
    </row>
    <row r="285" spans="2:8" x14ac:dyDescent="0.35">
      <c r="B285" s="5"/>
      <c r="C285" s="5"/>
      <c r="D285" s="1"/>
      <c r="E285" s="5"/>
      <c r="G285" s="6"/>
      <c r="H285" s="1"/>
    </row>
    <row r="286" spans="2:8" x14ac:dyDescent="0.35">
      <c r="B286" s="5"/>
      <c r="C286" s="5"/>
      <c r="D286" s="1"/>
      <c r="E286" s="5"/>
      <c r="G286" s="6"/>
      <c r="H286" s="1"/>
    </row>
    <row r="287" spans="2:8" x14ac:dyDescent="0.35">
      <c r="B287" s="5"/>
      <c r="C287" s="5"/>
      <c r="D287" s="1"/>
      <c r="E287" s="5"/>
      <c r="G287" s="6"/>
      <c r="H287" s="1"/>
    </row>
    <row r="288" spans="2:8" x14ac:dyDescent="0.35">
      <c r="B288" s="5"/>
      <c r="C288" s="5"/>
      <c r="D288" s="1"/>
      <c r="E288" s="5"/>
      <c r="G288" s="6"/>
      <c r="H288" s="1"/>
    </row>
    <row r="289" spans="2:8" x14ac:dyDescent="0.35">
      <c r="B289" s="5"/>
      <c r="C289" s="5"/>
      <c r="D289" s="1"/>
      <c r="E289" s="5"/>
      <c r="G289" s="6"/>
      <c r="H289" s="1"/>
    </row>
    <row r="290" spans="2:8" x14ac:dyDescent="0.35">
      <c r="B290" s="5"/>
      <c r="C290" s="5"/>
      <c r="D290" s="1"/>
      <c r="E290" s="5"/>
      <c r="G290" s="6"/>
      <c r="H290" s="1"/>
    </row>
    <row r="291" spans="2:8" x14ac:dyDescent="0.35">
      <c r="B291" s="5"/>
      <c r="C291" s="5"/>
      <c r="D291" s="1"/>
      <c r="E291" s="5"/>
      <c r="G291" s="6"/>
      <c r="H291" s="1"/>
    </row>
    <row r="292" spans="2:8" x14ac:dyDescent="0.35">
      <c r="B292" s="5"/>
      <c r="C292" s="5"/>
      <c r="D292" s="1"/>
      <c r="E292" s="5"/>
      <c r="G292" s="6"/>
      <c r="H292" s="1"/>
    </row>
    <row r="293" spans="2:8" x14ac:dyDescent="0.35">
      <c r="B293" s="5"/>
      <c r="C293" s="5"/>
      <c r="D293" s="1"/>
      <c r="E293" s="5"/>
      <c r="G293" s="6"/>
      <c r="H293" s="1"/>
    </row>
    <row r="294" spans="2:8" x14ac:dyDescent="0.35">
      <c r="B294" s="5"/>
      <c r="C294" s="5"/>
      <c r="D294" s="1"/>
      <c r="E294" s="5"/>
      <c r="G294" s="6"/>
      <c r="H294" s="1"/>
    </row>
    <row r="295" spans="2:8" x14ac:dyDescent="0.35">
      <c r="B295" s="5"/>
      <c r="C295" s="5"/>
      <c r="D295" s="1"/>
      <c r="E295" s="5"/>
      <c r="G295" s="6"/>
      <c r="H295" s="1"/>
    </row>
    <row r="296" spans="2:8" x14ac:dyDescent="0.35">
      <c r="B296" s="5"/>
      <c r="C296" s="5"/>
      <c r="D296" s="1"/>
      <c r="E296" s="5"/>
      <c r="G296" s="6"/>
      <c r="H296" s="1"/>
    </row>
    <row r="297" spans="2:8" x14ac:dyDescent="0.35">
      <c r="B297" s="5"/>
      <c r="C297" s="5"/>
      <c r="D297" s="1"/>
      <c r="E297" s="5"/>
      <c r="G297" s="6"/>
      <c r="H297" s="1"/>
    </row>
    <row r="298" spans="2:8" x14ac:dyDescent="0.35">
      <c r="B298" s="5"/>
      <c r="C298" s="5"/>
      <c r="D298" s="1"/>
      <c r="E298" s="5"/>
      <c r="G298" s="6"/>
      <c r="H298" s="1"/>
    </row>
    <row r="299" spans="2:8" x14ac:dyDescent="0.35">
      <c r="B299" s="5"/>
      <c r="C299" s="5"/>
      <c r="D299" s="1"/>
      <c r="E299" s="5"/>
      <c r="G299" s="6"/>
      <c r="H299" s="1"/>
    </row>
    <row r="300" spans="2:8" x14ac:dyDescent="0.35">
      <c r="B300" s="5"/>
      <c r="C300" s="5"/>
      <c r="D300" s="1"/>
      <c r="E300" s="5"/>
      <c r="G300" s="6"/>
      <c r="H300" s="1"/>
    </row>
    <row r="301" spans="2:8" x14ac:dyDescent="0.35">
      <c r="B301" s="5"/>
      <c r="C301" s="5"/>
      <c r="D301" s="1"/>
      <c r="E301" s="5"/>
      <c r="G301" s="6"/>
      <c r="H301" s="1"/>
    </row>
    <row r="302" spans="2:8" x14ac:dyDescent="0.35">
      <c r="B302" s="5"/>
      <c r="C302" s="5"/>
      <c r="D302" s="1"/>
      <c r="E302" s="5"/>
      <c r="G302" s="6"/>
      <c r="H302" s="1"/>
    </row>
    <row r="303" spans="2:8" x14ac:dyDescent="0.35">
      <c r="B303" s="5"/>
      <c r="C303" s="5"/>
      <c r="D303" s="1"/>
      <c r="E303" s="5"/>
      <c r="G303" s="6"/>
      <c r="H303" s="1"/>
    </row>
    <row r="304" spans="2:8" x14ac:dyDescent="0.35">
      <c r="B304" s="5"/>
      <c r="C304" s="5"/>
      <c r="D304" s="1"/>
      <c r="E304" s="5"/>
      <c r="G304" s="6"/>
      <c r="H304" s="1"/>
    </row>
    <row r="305" spans="2:8" x14ac:dyDescent="0.35">
      <c r="B305" s="5"/>
      <c r="C305" s="5"/>
      <c r="D305" s="1"/>
      <c r="E305" s="5"/>
      <c r="G305" s="6"/>
      <c r="H305" s="1"/>
    </row>
    <row r="306" spans="2:8" x14ac:dyDescent="0.35">
      <c r="B306" s="5"/>
      <c r="C306" s="5"/>
      <c r="D306" s="1"/>
      <c r="E306" s="5"/>
      <c r="G306" s="6"/>
      <c r="H306" s="1"/>
    </row>
    <row r="307" spans="2:8" x14ac:dyDescent="0.35">
      <c r="B307" s="5"/>
      <c r="C307" s="5"/>
      <c r="D307" s="1"/>
      <c r="E307" s="5"/>
      <c r="G307" s="6"/>
      <c r="H307" s="1"/>
    </row>
    <row r="308" spans="2:8" x14ac:dyDescent="0.35">
      <c r="B308" s="5"/>
      <c r="C308" s="5"/>
      <c r="D308" s="1"/>
      <c r="E308" s="5"/>
      <c r="G308" s="6"/>
      <c r="H308" s="1"/>
    </row>
    <row r="309" spans="2:8" x14ac:dyDescent="0.35">
      <c r="B309" s="5"/>
      <c r="C309" s="5"/>
      <c r="D309" s="1"/>
      <c r="E309" s="5"/>
      <c r="G309" s="6"/>
      <c r="H309" s="1"/>
    </row>
    <row r="310" spans="2:8" x14ac:dyDescent="0.35">
      <c r="B310" s="5"/>
      <c r="C310" s="5"/>
      <c r="D310" s="1"/>
      <c r="E310" s="5"/>
      <c r="G310" s="6"/>
      <c r="H310" s="1"/>
    </row>
    <row r="311" spans="2:8" x14ac:dyDescent="0.35">
      <c r="B311" s="5"/>
      <c r="C311" s="5"/>
      <c r="D311" s="1"/>
      <c r="E311" s="5"/>
      <c r="G311" s="6"/>
      <c r="H311" s="1"/>
    </row>
    <row r="312" spans="2:8" x14ac:dyDescent="0.35">
      <c r="B312" s="5"/>
      <c r="C312" s="5"/>
      <c r="D312" s="1"/>
      <c r="E312" s="5"/>
      <c r="G312" s="6"/>
      <c r="H312" s="1"/>
    </row>
    <row r="313" spans="2:8" x14ac:dyDescent="0.35">
      <c r="B313" s="5"/>
      <c r="C313" s="5"/>
      <c r="D313" s="1"/>
      <c r="E313" s="5"/>
      <c r="G313" s="6"/>
      <c r="H313" s="1"/>
    </row>
    <row r="314" spans="2:8" x14ac:dyDescent="0.35">
      <c r="B314" s="5"/>
      <c r="C314" s="5"/>
      <c r="D314" s="1"/>
      <c r="E314" s="5"/>
      <c r="G314" s="6"/>
      <c r="H314" s="1"/>
    </row>
    <row r="315" spans="2:8" x14ac:dyDescent="0.35">
      <c r="B315" s="5"/>
      <c r="C315" s="5"/>
      <c r="D315" s="1"/>
      <c r="E315" s="5"/>
      <c r="G315" s="6"/>
      <c r="H315" s="1"/>
    </row>
    <row r="316" spans="2:8" x14ac:dyDescent="0.35">
      <c r="B316" s="5"/>
      <c r="C316" s="5"/>
      <c r="D316" s="1"/>
      <c r="E316" s="5"/>
      <c r="G316" s="6"/>
      <c r="H316" s="1"/>
    </row>
    <row r="317" spans="2:8" x14ac:dyDescent="0.35">
      <c r="B317" s="5"/>
      <c r="C317" s="5"/>
      <c r="D317" s="1"/>
      <c r="E317" s="5"/>
      <c r="G317" s="6"/>
      <c r="H317" s="1"/>
    </row>
    <row r="318" spans="2:8" x14ac:dyDescent="0.35">
      <c r="B318" s="5"/>
      <c r="C318" s="5"/>
      <c r="D318" s="1"/>
      <c r="E318" s="5"/>
      <c r="G318" s="6"/>
      <c r="H318" s="1"/>
    </row>
    <row r="319" spans="2:8" x14ac:dyDescent="0.35">
      <c r="B319" s="5"/>
      <c r="C319" s="5"/>
      <c r="D319" s="1"/>
      <c r="E319" s="5"/>
      <c r="G319" s="6"/>
      <c r="H319" s="1"/>
    </row>
    <row r="320" spans="2:8" x14ac:dyDescent="0.35">
      <c r="B320" s="5"/>
      <c r="C320" s="5"/>
      <c r="D320" s="1"/>
      <c r="E320" s="5"/>
      <c r="G320" s="6"/>
      <c r="H320" s="1"/>
    </row>
    <row r="321" spans="2:8" x14ac:dyDescent="0.35">
      <c r="B321" s="5"/>
      <c r="C321" s="5"/>
      <c r="D321" s="1"/>
      <c r="E321" s="5"/>
      <c r="G321" s="6"/>
      <c r="H321" s="1"/>
    </row>
    <row r="322" spans="2:8" x14ac:dyDescent="0.35">
      <c r="B322" s="5"/>
      <c r="C322" s="5"/>
      <c r="D322" s="1"/>
      <c r="E322" s="5"/>
      <c r="G322" s="6"/>
      <c r="H322" s="1"/>
    </row>
    <row r="323" spans="2:8" x14ac:dyDescent="0.35">
      <c r="B323" s="5"/>
      <c r="C323" s="5"/>
      <c r="D323" s="1"/>
      <c r="E323" s="5"/>
      <c r="G323" s="6"/>
      <c r="H323" s="1"/>
    </row>
    <row r="324" spans="2:8" x14ac:dyDescent="0.35">
      <c r="B324" s="5"/>
      <c r="C324" s="5"/>
      <c r="D324" s="1"/>
      <c r="E324" s="5"/>
      <c r="G324" s="6"/>
      <c r="H324" s="1"/>
    </row>
    <row r="325" spans="2:8" x14ac:dyDescent="0.35">
      <c r="B325" s="5"/>
      <c r="C325" s="5"/>
      <c r="D325" s="1"/>
      <c r="E325" s="5"/>
      <c r="G325" s="6"/>
      <c r="H325" s="1"/>
    </row>
    <row r="326" spans="2:8" x14ac:dyDescent="0.35">
      <c r="B326" s="5"/>
      <c r="C326" s="5"/>
      <c r="D326" s="1"/>
      <c r="E326" s="5"/>
      <c r="G326" s="6"/>
      <c r="H326" s="1"/>
    </row>
    <row r="327" spans="2:8" x14ac:dyDescent="0.35">
      <c r="B327" s="5"/>
      <c r="C327" s="5"/>
      <c r="D327" s="1"/>
      <c r="E327" s="5"/>
      <c r="G327" s="6"/>
      <c r="H327" s="1"/>
    </row>
    <row r="328" spans="2:8" x14ac:dyDescent="0.35">
      <c r="B328" s="5"/>
      <c r="C328" s="5"/>
      <c r="D328" s="1"/>
      <c r="E328" s="5"/>
      <c r="G328" s="6"/>
      <c r="H328" s="1"/>
    </row>
    <row r="329" spans="2:8" x14ac:dyDescent="0.35">
      <c r="B329" s="5"/>
      <c r="C329" s="5"/>
      <c r="D329" s="1"/>
      <c r="E329" s="5"/>
      <c r="G329" s="6"/>
      <c r="H329" s="1"/>
    </row>
    <row r="330" spans="2:8" x14ac:dyDescent="0.35">
      <c r="B330" s="5"/>
      <c r="C330" s="5"/>
      <c r="D330" s="1"/>
      <c r="E330" s="5"/>
      <c r="G330" s="6"/>
      <c r="H330" s="1"/>
    </row>
    <row r="331" spans="2:8" x14ac:dyDescent="0.35">
      <c r="B331" s="5"/>
      <c r="C331" s="5"/>
      <c r="D331" s="1"/>
      <c r="E331" s="5"/>
      <c r="G331" s="6"/>
      <c r="H331" s="1"/>
    </row>
    <row r="332" spans="2:8" x14ac:dyDescent="0.35">
      <c r="B332" s="5"/>
      <c r="C332" s="5"/>
      <c r="D332" s="1"/>
      <c r="E332" s="5"/>
      <c r="G332" s="6"/>
      <c r="H332" s="1"/>
    </row>
    <row r="333" spans="2:8" x14ac:dyDescent="0.35">
      <c r="B333" s="5"/>
      <c r="C333" s="5"/>
      <c r="D333" s="1"/>
      <c r="E333" s="5"/>
      <c r="G333" s="6"/>
      <c r="H333" s="1"/>
    </row>
    <row r="334" spans="2:8" x14ac:dyDescent="0.35">
      <c r="B334" s="5"/>
      <c r="C334" s="5"/>
      <c r="D334" s="1"/>
      <c r="E334" s="5"/>
      <c r="G334" s="6"/>
      <c r="H334" s="1"/>
    </row>
    <row r="335" spans="2:8" x14ac:dyDescent="0.35">
      <c r="B335" s="5"/>
      <c r="C335" s="5"/>
      <c r="D335" s="1"/>
      <c r="E335" s="5"/>
      <c r="G335" s="6"/>
      <c r="H335" s="1"/>
    </row>
    <row r="336" spans="2:8" x14ac:dyDescent="0.35">
      <c r="B336" s="5"/>
      <c r="C336" s="5"/>
      <c r="D336" s="1"/>
      <c r="E336" s="5"/>
      <c r="G336" s="6"/>
      <c r="H336" s="1"/>
    </row>
    <row r="337" spans="2:8" x14ac:dyDescent="0.35">
      <c r="B337" s="5"/>
      <c r="C337" s="5"/>
      <c r="D337" s="1"/>
      <c r="E337" s="5"/>
      <c r="G337" s="6"/>
      <c r="H337" s="1"/>
    </row>
    <row r="338" spans="2:8" x14ac:dyDescent="0.35">
      <c r="B338" s="5"/>
      <c r="C338" s="5"/>
      <c r="D338" s="1"/>
      <c r="E338" s="5"/>
      <c r="G338" s="6"/>
      <c r="H338" s="1"/>
    </row>
    <row r="339" spans="2:8" x14ac:dyDescent="0.35">
      <c r="B339" s="5"/>
      <c r="C339" s="5"/>
      <c r="D339" s="1"/>
      <c r="E339" s="5"/>
      <c r="G339" s="6"/>
      <c r="H339" s="1"/>
    </row>
    <row r="340" spans="2:8" x14ac:dyDescent="0.35">
      <c r="B340" s="5"/>
      <c r="C340" s="5"/>
      <c r="D340" s="1"/>
      <c r="E340" s="5"/>
      <c r="G340" s="6"/>
      <c r="H340" s="1"/>
    </row>
    <row r="341" spans="2:8" x14ac:dyDescent="0.35">
      <c r="B341" s="5"/>
      <c r="C341" s="5"/>
      <c r="D341" s="1"/>
      <c r="E341" s="5"/>
      <c r="G341" s="6"/>
      <c r="H341" s="1"/>
    </row>
    <row r="342" spans="2:8" x14ac:dyDescent="0.35">
      <c r="B342" s="5"/>
      <c r="C342" s="5"/>
      <c r="D342" s="1"/>
      <c r="E342" s="5"/>
      <c r="G342" s="6"/>
      <c r="H342" s="1"/>
    </row>
    <row r="343" spans="2:8" x14ac:dyDescent="0.35">
      <c r="B343" s="5"/>
      <c r="C343" s="5"/>
      <c r="D343" s="1"/>
      <c r="E343" s="5"/>
      <c r="G343" s="6"/>
      <c r="H343" s="1"/>
    </row>
    <row r="344" spans="2:8" x14ac:dyDescent="0.35">
      <c r="B344" s="5"/>
      <c r="C344" s="5"/>
      <c r="D344" s="1"/>
      <c r="E344" s="5"/>
      <c r="G344" s="6"/>
      <c r="H344" s="1"/>
    </row>
    <row r="345" spans="2:8" x14ac:dyDescent="0.35">
      <c r="B345" s="5"/>
      <c r="C345" s="5"/>
      <c r="D345" s="1"/>
      <c r="E345" s="5"/>
      <c r="G345" s="6"/>
      <c r="H345" s="1"/>
    </row>
    <row r="346" spans="2:8" x14ac:dyDescent="0.35">
      <c r="B346" s="5"/>
      <c r="C346" s="5"/>
      <c r="D346" s="1"/>
      <c r="E346" s="5"/>
      <c r="G346" s="6"/>
      <c r="H346" s="1"/>
    </row>
    <row r="347" spans="2:8" x14ac:dyDescent="0.35">
      <c r="B347" s="5"/>
      <c r="C347" s="5"/>
      <c r="D347" s="1"/>
      <c r="E347" s="5"/>
      <c r="G347" s="6"/>
      <c r="H347" s="1"/>
    </row>
    <row r="348" spans="2:8" x14ac:dyDescent="0.35">
      <c r="B348" s="5"/>
      <c r="C348" s="5"/>
      <c r="D348" s="1"/>
      <c r="E348" s="5"/>
      <c r="G348" s="6"/>
      <c r="H348" s="1"/>
    </row>
    <row r="349" spans="2:8" x14ac:dyDescent="0.35">
      <c r="B349" s="5"/>
      <c r="C349" s="5"/>
      <c r="D349" s="1"/>
      <c r="E349" s="5"/>
      <c r="G349" s="6"/>
      <c r="H349" s="1"/>
    </row>
    <row r="350" spans="2:8" x14ac:dyDescent="0.35">
      <c r="B350" s="5"/>
      <c r="C350" s="5"/>
      <c r="D350" s="1"/>
      <c r="E350" s="5"/>
      <c r="G350" s="6"/>
      <c r="H350" s="1"/>
    </row>
    <row r="351" spans="2:8" x14ac:dyDescent="0.35">
      <c r="B351" s="5"/>
      <c r="C351" s="5"/>
      <c r="D351" s="1"/>
      <c r="E351" s="5"/>
      <c r="G351" s="6"/>
      <c r="H351" s="1"/>
    </row>
    <row r="352" spans="2:8" x14ac:dyDescent="0.35">
      <c r="B352" s="5"/>
      <c r="C352" s="5"/>
      <c r="D352" s="1"/>
      <c r="E352" s="5"/>
      <c r="G352" s="6"/>
      <c r="H352" s="1"/>
    </row>
    <row r="353" spans="2:8" x14ac:dyDescent="0.35">
      <c r="B353" s="5"/>
      <c r="C353" s="5"/>
      <c r="D353" s="1"/>
      <c r="E353" s="5"/>
      <c r="G353" s="6"/>
      <c r="H353" s="1"/>
    </row>
    <row r="354" spans="2:8" x14ac:dyDescent="0.35">
      <c r="B354" s="5"/>
      <c r="C354" s="5"/>
      <c r="D354" s="1"/>
      <c r="E354" s="5"/>
      <c r="G354" s="6"/>
      <c r="H354" s="1"/>
    </row>
    <row r="355" spans="2:8" x14ac:dyDescent="0.35">
      <c r="B355" s="5"/>
      <c r="C355" s="5"/>
      <c r="D355" s="1"/>
      <c r="E355" s="5"/>
      <c r="G355" s="6"/>
      <c r="H355" s="1"/>
    </row>
    <row r="356" spans="2:8" x14ac:dyDescent="0.35">
      <c r="B356" s="5"/>
      <c r="C356" s="5"/>
      <c r="D356" s="1"/>
      <c r="E356" s="5"/>
      <c r="G356" s="6"/>
      <c r="H356" s="1"/>
    </row>
    <row r="357" spans="2:8" x14ac:dyDescent="0.35">
      <c r="B357" s="5"/>
      <c r="C357" s="5"/>
      <c r="D357" s="1"/>
      <c r="E357" s="5"/>
      <c r="G357" s="6"/>
      <c r="H357" s="1"/>
    </row>
    <row r="358" spans="2:8" x14ac:dyDescent="0.35">
      <c r="B358" s="5"/>
      <c r="C358" s="5"/>
      <c r="D358" s="1"/>
      <c r="E358" s="5"/>
      <c r="G358" s="6"/>
      <c r="H358" s="1"/>
    </row>
    <row r="359" spans="2:8" x14ac:dyDescent="0.35">
      <c r="B359" s="5"/>
      <c r="C359" s="5"/>
      <c r="D359" s="1"/>
      <c r="E359" s="5"/>
      <c r="G359" s="6"/>
      <c r="H359" s="1"/>
    </row>
    <row r="360" spans="2:8" x14ac:dyDescent="0.35">
      <c r="B360" s="5"/>
      <c r="C360" s="5"/>
      <c r="D360" s="1"/>
      <c r="E360" s="5"/>
      <c r="G360" s="6"/>
      <c r="H360" s="1"/>
    </row>
    <row r="361" spans="2:8" x14ac:dyDescent="0.35">
      <c r="B361" s="5"/>
      <c r="C361" s="5"/>
      <c r="D361" s="1"/>
      <c r="E361" s="5"/>
      <c r="G361" s="6"/>
      <c r="H361" s="1"/>
    </row>
    <row r="362" spans="2:8" x14ac:dyDescent="0.35">
      <c r="B362" s="5"/>
      <c r="C362" s="5"/>
      <c r="D362" s="1"/>
      <c r="E362" s="5"/>
      <c r="G362" s="6"/>
      <c r="H362" s="1"/>
    </row>
    <row r="363" spans="2:8" x14ac:dyDescent="0.35">
      <c r="B363" s="5"/>
      <c r="C363" s="5"/>
      <c r="D363" s="1"/>
      <c r="E363" s="5"/>
      <c r="G363" s="6"/>
      <c r="H363" s="1"/>
    </row>
    <row r="364" spans="2:8" x14ac:dyDescent="0.35">
      <c r="B364" s="5"/>
      <c r="C364" s="5"/>
      <c r="D364" s="1"/>
      <c r="E364" s="5"/>
      <c r="G364" s="6"/>
      <c r="H364" s="1"/>
    </row>
    <row r="365" spans="2:8" x14ac:dyDescent="0.35">
      <c r="B365" s="5"/>
      <c r="C365" s="5"/>
      <c r="D365" s="1"/>
      <c r="E365" s="5"/>
      <c r="G365" s="6"/>
      <c r="H365" s="1"/>
    </row>
    <row r="366" spans="2:8" x14ac:dyDescent="0.35">
      <c r="B366" s="5"/>
      <c r="C366" s="5"/>
      <c r="D366" s="1"/>
      <c r="E366" s="5"/>
      <c r="G366" s="6"/>
      <c r="H366" s="1"/>
    </row>
    <row r="367" spans="2:8" x14ac:dyDescent="0.35">
      <c r="B367" s="5"/>
      <c r="C367" s="5"/>
      <c r="D367" s="1"/>
      <c r="E367" s="5"/>
      <c r="G367" s="6"/>
      <c r="H367" s="1"/>
    </row>
    <row r="368" spans="2:8" x14ac:dyDescent="0.35">
      <c r="B368" s="5"/>
      <c r="C368" s="5"/>
      <c r="D368" s="1"/>
      <c r="E368" s="5"/>
      <c r="G368" s="6"/>
      <c r="H368" s="1"/>
    </row>
    <row r="369" spans="2:8" x14ac:dyDescent="0.35">
      <c r="B369" s="5"/>
      <c r="C369" s="5"/>
      <c r="D369" s="1"/>
      <c r="E369" s="5"/>
      <c r="G369" s="6"/>
      <c r="H369" s="1"/>
    </row>
    <row r="370" spans="2:8" x14ac:dyDescent="0.35">
      <c r="B370" s="5"/>
      <c r="C370" s="5"/>
      <c r="D370" s="1"/>
      <c r="E370" s="5"/>
      <c r="G370" s="6"/>
      <c r="H370" s="1"/>
    </row>
    <row r="371" spans="2:8" x14ac:dyDescent="0.35">
      <c r="B371" s="5"/>
      <c r="C371" s="5"/>
      <c r="D371" s="1"/>
      <c r="E371" s="5"/>
      <c r="G371" s="6"/>
      <c r="H371" s="1"/>
    </row>
    <row r="372" spans="2:8" x14ac:dyDescent="0.35">
      <c r="B372" s="5"/>
      <c r="C372" s="5"/>
      <c r="D372" s="1"/>
      <c r="E372" s="5"/>
      <c r="G372" s="6"/>
      <c r="H372" s="1"/>
    </row>
    <row r="373" spans="2:8" x14ac:dyDescent="0.35">
      <c r="B373" s="5"/>
      <c r="C373" s="5"/>
      <c r="D373" s="1"/>
      <c r="E373" s="5"/>
      <c r="G373" s="6"/>
      <c r="H373" s="1"/>
    </row>
    <row r="374" spans="2:8" x14ac:dyDescent="0.35">
      <c r="B374" s="5"/>
      <c r="C374" s="5"/>
      <c r="D374" s="1"/>
      <c r="E374" s="5"/>
      <c r="G374" s="6"/>
      <c r="H374" s="1"/>
    </row>
    <row r="375" spans="2:8" x14ac:dyDescent="0.35">
      <c r="B375" s="5"/>
      <c r="C375" s="5"/>
      <c r="D375" s="1"/>
      <c r="E375" s="5"/>
      <c r="G375" s="6"/>
      <c r="H375" s="1"/>
    </row>
    <row r="376" spans="2:8" x14ac:dyDescent="0.35">
      <c r="B376" s="5"/>
      <c r="C376" s="5"/>
      <c r="D376" s="1"/>
      <c r="E376" s="5"/>
      <c r="G376" s="6"/>
      <c r="H376" s="1"/>
    </row>
    <row r="377" spans="2:8" x14ac:dyDescent="0.35">
      <c r="B377" s="5"/>
      <c r="C377" s="5"/>
      <c r="D377" s="1"/>
      <c r="E377" s="5"/>
      <c r="G377" s="6"/>
      <c r="H377" s="1"/>
    </row>
    <row r="378" spans="2:8" x14ac:dyDescent="0.35">
      <c r="B378" s="5"/>
      <c r="C378" s="5"/>
      <c r="D378" s="1"/>
      <c r="E378" s="5"/>
      <c r="G378" s="6"/>
      <c r="H378" s="1"/>
    </row>
    <row r="379" spans="2:8" x14ac:dyDescent="0.35">
      <c r="B379" s="5"/>
      <c r="C379" s="5"/>
      <c r="D379" s="1"/>
      <c r="E379" s="5"/>
      <c r="G379" s="6"/>
      <c r="H379" s="1"/>
    </row>
    <row r="380" spans="2:8" x14ac:dyDescent="0.35">
      <c r="B380" s="5"/>
      <c r="C380" s="5"/>
      <c r="D380" s="1"/>
      <c r="E380" s="5"/>
      <c r="G380" s="6"/>
      <c r="H380" s="1"/>
    </row>
    <row r="381" spans="2:8" x14ac:dyDescent="0.35">
      <c r="B381" s="5"/>
      <c r="C381" s="5"/>
      <c r="D381" s="1"/>
      <c r="E381" s="5"/>
      <c r="G381" s="6"/>
      <c r="H381" s="1"/>
    </row>
    <row r="382" spans="2:8" x14ac:dyDescent="0.35">
      <c r="B382" s="5"/>
      <c r="C382" s="5"/>
      <c r="D382" s="1"/>
      <c r="E382" s="5"/>
      <c r="G382" s="6"/>
      <c r="H382" s="1"/>
    </row>
    <row r="383" spans="2:8" x14ac:dyDescent="0.35">
      <c r="B383" s="5"/>
      <c r="C383" s="5"/>
      <c r="D383" s="1"/>
      <c r="E383" s="5"/>
      <c r="G383" s="6"/>
      <c r="H383" s="1"/>
    </row>
    <row r="384" spans="2:8" x14ac:dyDescent="0.35">
      <c r="B384" s="5"/>
      <c r="C384" s="5"/>
      <c r="D384" s="1"/>
      <c r="E384" s="5"/>
      <c r="G384" s="6"/>
      <c r="H384" s="1"/>
    </row>
    <row r="385" spans="2:8" x14ac:dyDescent="0.35">
      <c r="B385" s="5"/>
      <c r="C385" s="5"/>
      <c r="D385" s="1"/>
      <c r="E385" s="5"/>
      <c r="G385" s="6"/>
      <c r="H385" s="1"/>
    </row>
    <row r="386" spans="2:8" x14ac:dyDescent="0.35">
      <c r="B386" s="5"/>
      <c r="C386" s="5"/>
      <c r="D386" s="1"/>
      <c r="E386" s="5"/>
      <c r="G386" s="6"/>
      <c r="H386" s="1"/>
    </row>
    <row r="387" spans="2:8" x14ac:dyDescent="0.35">
      <c r="B387" s="5"/>
      <c r="C387" s="5"/>
      <c r="D387" s="1"/>
      <c r="E387" s="5"/>
      <c r="G387" s="6"/>
      <c r="H387" s="1"/>
    </row>
    <row r="388" spans="2:8" x14ac:dyDescent="0.35">
      <c r="B388" s="5"/>
      <c r="C388" s="5"/>
      <c r="D388" s="1"/>
      <c r="E388" s="5"/>
      <c r="G388" s="6"/>
      <c r="H388" s="1"/>
    </row>
    <row r="389" spans="2:8" x14ac:dyDescent="0.35">
      <c r="B389" s="5"/>
      <c r="C389" s="5"/>
      <c r="D389" s="1"/>
      <c r="E389" s="5"/>
      <c r="G389" s="6"/>
      <c r="H389" s="1"/>
    </row>
    <row r="390" spans="2:8" x14ac:dyDescent="0.35">
      <c r="B390" s="5"/>
      <c r="C390" s="5"/>
      <c r="D390" s="1"/>
      <c r="E390" s="5"/>
      <c r="G390" s="6"/>
      <c r="H390" s="1"/>
    </row>
    <row r="391" spans="2:8" x14ac:dyDescent="0.35">
      <c r="B391" s="5"/>
      <c r="C391" s="5"/>
      <c r="D391" s="1"/>
      <c r="E391" s="5"/>
      <c r="G391" s="6"/>
      <c r="H391" s="1"/>
    </row>
    <row r="392" spans="2:8" x14ac:dyDescent="0.35">
      <c r="B392" s="5"/>
      <c r="C392" s="5"/>
      <c r="D392" s="1"/>
      <c r="E392" s="5"/>
      <c r="G392" s="6"/>
      <c r="H392" s="1"/>
    </row>
    <row r="393" spans="2:8" x14ac:dyDescent="0.35">
      <c r="B393" s="5"/>
      <c r="C393" s="5"/>
      <c r="D393" s="1"/>
      <c r="E393" s="5"/>
      <c r="G393" s="6"/>
      <c r="H393" s="1"/>
    </row>
    <row r="394" spans="2:8" x14ac:dyDescent="0.35">
      <c r="B394" s="5"/>
      <c r="C394" s="5"/>
      <c r="D394" s="1"/>
      <c r="E394" s="5"/>
      <c r="G394" s="6"/>
      <c r="H394" s="1"/>
    </row>
    <row r="395" spans="2:8" x14ac:dyDescent="0.35">
      <c r="B395" s="5"/>
      <c r="C395" s="5"/>
      <c r="D395" s="1"/>
      <c r="E395" s="5"/>
      <c r="G395" s="6"/>
      <c r="H395" s="1"/>
    </row>
    <row r="396" spans="2:8" x14ac:dyDescent="0.35">
      <c r="B396" s="5"/>
      <c r="C396" s="5"/>
      <c r="D396" s="1"/>
      <c r="E396" s="5"/>
      <c r="G396" s="6"/>
      <c r="H396" s="1"/>
    </row>
    <row r="397" spans="2:8" x14ac:dyDescent="0.35">
      <c r="B397" s="5"/>
      <c r="C397" s="5"/>
      <c r="D397" s="1"/>
      <c r="E397" s="5"/>
      <c r="G397" s="6"/>
      <c r="H397" s="1"/>
    </row>
    <row r="398" spans="2:8" x14ac:dyDescent="0.35">
      <c r="B398" s="5"/>
      <c r="C398" s="5"/>
      <c r="D398" s="1"/>
      <c r="E398" s="5"/>
      <c r="G398" s="6"/>
      <c r="H398" s="1"/>
    </row>
    <row r="399" spans="2:8" x14ac:dyDescent="0.35">
      <c r="B399" s="5"/>
      <c r="C399" s="5"/>
      <c r="D399" s="1"/>
      <c r="E399" s="5"/>
      <c r="G399" s="6"/>
      <c r="H399" s="1"/>
    </row>
    <row r="400" spans="2:8" x14ac:dyDescent="0.35">
      <c r="B400" s="5"/>
      <c r="C400" s="5"/>
      <c r="D400" s="1"/>
      <c r="E400" s="5"/>
      <c r="G400" s="6"/>
      <c r="H400" s="1"/>
    </row>
    <row r="401" spans="2:8" x14ac:dyDescent="0.35">
      <c r="B401" s="5"/>
      <c r="C401" s="5"/>
      <c r="D401" s="1"/>
      <c r="E401" s="5"/>
      <c r="G401" s="6"/>
      <c r="H401" s="1"/>
    </row>
    <row r="402" spans="2:8" x14ac:dyDescent="0.35">
      <c r="B402" s="5"/>
      <c r="C402" s="5"/>
      <c r="D402" s="1"/>
      <c r="E402" s="5"/>
      <c r="G402" s="6"/>
      <c r="H402" s="1"/>
    </row>
    <row r="403" spans="2:8" x14ac:dyDescent="0.35">
      <c r="B403" s="5"/>
      <c r="C403" s="5"/>
      <c r="D403" s="1"/>
      <c r="E403" s="5"/>
      <c r="G403" s="6"/>
      <c r="H403" s="1"/>
    </row>
    <row r="404" spans="2:8" x14ac:dyDescent="0.35">
      <c r="B404" s="5"/>
      <c r="C404" s="5"/>
      <c r="D404" s="1"/>
      <c r="E404" s="5"/>
      <c r="G404" s="6"/>
      <c r="H404" s="1"/>
    </row>
    <row r="405" spans="2:8" x14ac:dyDescent="0.35">
      <c r="B405" s="5"/>
      <c r="C405" s="5"/>
      <c r="D405" s="1"/>
      <c r="E405" s="5"/>
      <c r="G405" s="6"/>
      <c r="H405" s="1"/>
    </row>
    <row r="406" spans="2:8" x14ac:dyDescent="0.35">
      <c r="B406" s="5"/>
      <c r="C406" s="5"/>
      <c r="D406" s="1"/>
      <c r="E406" s="5"/>
      <c r="G406" s="6"/>
      <c r="H406" s="1"/>
    </row>
    <row r="407" spans="2:8" x14ac:dyDescent="0.35">
      <c r="B407" s="5"/>
      <c r="C407" s="5"/>
      <c r="D407" s="1"/>
      <c r="E407" s="5"/>
      <c r="G407" s="6"/>
      <c r="H407" s="1"/>
    </row>
    <row r="408" spans="2:8" x14ac:dyDescent="0.35">
      <c r="B408" s="5"/>
      <c r="C408" s="5"/>
      <c r="D408" s="1"/>
      <c r="E408" s="5"/>
      <c r="G408" s="6"/>
      <c r="H408" s="1"/>
    </row>
    <row r="409" spans="2:8" x14ac:dyDescent="0.35">
      <c r="B409" s="5"/>
      <c r="C409" s="5"/>
      <c r="D409" s="1"/>
      <c r="E409" s="5"/>
      <c r="G409" s="6"/>
      <c r="H409" s="1"/>
    </row>
    <row r="410" spans="2:8" x14ac:dyDescent="0.35">
      <c r="B410" s="5"/>
      <c r="C410" s="5"/>
      <c r="D410" s="1"/>
      <c r="E410" s="5"/>
      <c r="G410" s="6"/>
      <c r="H410" s="1"/>
    </row>
    <row r="411" spans="2:8" x14ac:dyDescent="0.35">
      <c r="B411" s="5"/>
      <c r="C411" s="5"/>
      <c r="D411" s="1"/>
      <c r="E411" s="5"/>
      <c r="G411" s="6"/>
      <c r="H411" s="1"/>
    </row>
    <row r="412" spans="2:8" x14ac:dyDescent="0.35">
      <c r="B412" s="5"/>
      <c r="C412" s="5"/>
      <c r="D412" s="1"/>
      <c r="E412" s="5"/>
      <c r="G412" s="6"/>
      <c r="H412" s="1"/>
    </row>
    <row r="413" spans="2:8" x14ac:dyDescent="0.35">
      <c r="B413" s="5"/>
      <c r="C413" s="5"/>
      <c r="D413" s="1"/>
      <c r="E413" s="5"/>
      <c r="G413" s="6"/>
      <c r="H413" s="1"/>
    </row>
    <row r="414" spans="2:8" x14ac:dyDescent="0.35">
      <c r="B414" s="5"/>
      <c r="C414" s="5"/>
      <c r="D414" s="1"/>
      <c r="E414" s="5"/>
      <c r="G414" s="6"/>
      <c r="H414" s="1"/>
    </row>
    <row r="415" spans="2:8" x14ac:dyDescent="0.35">
      <c r="B415" s="5"/>
      <c r="C415" s="5"/>
      <c r="D415" s="1"/>
      <c r="E415" s="5"/>
      <c r="G415" s="6"/>
      <c r="H415" s="1"/>
    </row>
    <row r="416" spans="2:8" x14ac:dyDescent="0.35">
      <c r="B416" s="5"/>
      <c r="C416" s="5"/>
      <c r="D416" s="1"/>
      <c r="E416" s="5"/>
      <c r="G416" s="6"/>
      <c r="H416" s="1"/>
    </row>
    <row r="417" spans="2:8" x14ac:dyDescent="0.35">
      <c r="B417" s="5"/>
      <c r="C417" s="5"/>
      <c r="D417" s="1"/>
      <c r="E417" s="5"/>
      <c r="G417" s="6"/>
      <c r="H417" s="1"/>
    </row>
    <row r="418" spans="2:8" x14ac:dyDescent="0.35">
      <c r="B418" s="5"/>
      <c r="C418" s="5"/>
      <c r="D418" s="1"/>
      <c r="E418" s="5"/>
      <c r="G418" s="6"/>
      <c r="H418" s="1"/>
    </row>
    <row r="419" spans="2:8" x14ac:dyDescent="0.35">
      <c r="B419" s="5"/>
      <c r="C419" s="5"/>
      <c r="D419" s="1"/>
      <c r="E419" s="5"/>
      <c r="G419" s="6"/>
      <c r="H419" s="1"/>
    </row>
    <row r="420" spans="2:8" x14ac:dyDescent="0.35">
      <c r="B420" s="5"/>
      <c r="C420" s="5"/>
      <c r="D420" s="1"/>
      <c r="E420" s="5"/>
      <c r="G420" s="6"/>
      <c r="H420" s="1"/>
    </row>
    <row r="421" spans="2:8" x14ac:dyDescent="0.35">
      <c r="B421" s="5"/>
      <c r="C421" s="5"/>
      <c r="D421" s="1"/>
      <c r="E421" s="5"/>
      <c r="G421" s="6"/>
      <c r="H421" s="1"/>
    </row>
    <row r="422" spans="2:8" x14ac:dyDescent="0.35">
      <c r="B422" s="5"/>
      <c r="C422" s="5"/>
      <c r="D422" s="1"/>
      <c r="E422" s="5"/>
      <c r="G422" s="6"/>
      <c r="H422" s="1"/>
    </row>
    <row r="423" spans="2:8" x14ac:dyDescent="0.35">
      <c r="B423" s="5"/>
      <c r="C423" s="5"/>
      <c r="D423" s="1"/>
      <c r="E423" s="5"/>
      <c r="G423" s="6"/>
      <c r="H423" s="1"/>
    </row>
    <row r="424" spans="2:8" x14ac:dyDescent="0.35">
      <c r="B424" s="5"/>
      <c r="C424" s="5"/>
      <c r="D424" s="1"/>
      <c r="E424" s="5"/>
      <c r="G424" s="6"/>
      <c r="H424" s="1"/>
    </row>
    <row r="425" spans="2:8" x14ac:dyDescent="0.35">
      <c r="B425" s="5"/>
      <c r="C425" s="5"/>
      <c r="D425" s="1"/>
      <c r="E425" s="5"/>
      <c r="G425" s="6"/>
      <c r="H425" s="1"/>
    </row>
    <row r="426" spans="2:8" x14ac:dyDescent="0.35">
      <c r="B426" s="5"/>
      <c r="C426" s="5"/>
      <c r="D426" s="1"/>
      <c r="E426" s="5"/>
      <c r="G426" s="6"/>
      <c r="H426" s="1"/>
    </row>
    <row r="427" spans="2:8" x14ac:dyDescent="0.35">
      <c r="B427" s="5"/>
      <c r="C427" s="5"/>
      <c r="D427" s="1"/>
      <c r="E427" s="5"/>
      <c r="G427" s="6"/>
      <c r="H427" s="1"/>
    </row>
    <row r="428" spans="2:8" x14ac:dyDescent="0.35">
      <c r="B428" s="5"/>
      <c r="C428" s="5"/>
      <c r="D428" s="1"/>
      <c r="E428" s="5"/>
      <c r="G428" s="6"/>
      <c r="H428" s="1"/>
    </row>
    <row r="429" spans="2:8" x14ac:dyDescent="0.35">
      <c r="B429" s="5"/>
      <c r="C429" s="5"/>
      <c r="D429" s="1"/>
      <c r="E429" s="5"/>
      <c r="G429" s="6"/>
      <c r="H429" s="1"/>
    </row>
    <row r="430" spans="2:8" x14ac:dyDescent="0.35">
      <c r="B430" s="5"/>
      <c r="C430" s="5"/>
      <c r="D430" s="1"/>
      <c r="E430" s="5"/>
      <c r="G430" s="6"/>
      <c r="H430" s="1"/>
    </row>
    <row r="431" spans="2:8" x14ac:dyDescent="0.35">
      <c r="B431" s="5"/>
      <c r="C431" s="5"/>
      <c r="D431" s="1"/>
      <c r="E431" s="5"/>
      <c r="G431" s="6"/>
      <c r="H431" s="1"/>
    </row>
    <row r="432" spans="2:8" x14ac:dyDescent="0.35">
      <c r="B432" s="5"/>
      <c r="C432" s="5"/>
      <c r="D432" s="1"/>
      <c r="E432" s="5"/>
      <c r="G432" s="6"/>
      <c r="H432" s="1"/>
    </row>
    <row r="433" spans="2:8" x14ac:dyDescent="0.35">
      <c r="B433" s="5"/>
      <c r="C433" s="5"/>
      <c r="D433" s="1"/>
      <c r="E433" s="5"/>
      <c r="G433" s="6"/>
      <c r="H433" s="1"/>
    </row>
    <row r="434" spans="2:8" x14ac:dyDescent="0.35">
      <c r="B434" s="5"/>
      <c r="C434" s="5"/>
      <c r="D434" s="1"/>
      <c r="E434" s="5"/>
      <c r="G434" s="6"/>
      <c r="H434" s="1"/>
    </row>
    <row r="435" spans="2:8" x14ac:dyDescent="0.35">
      <c r="B435" s="5"/>
      <c r="C435" s="5"/>
      <c r="D435" s="1"/>
      <c r="E435" s="5"/>
      <c r="G435" s="6"/>
      <c r="H435" s="1"/>
    </row>
    <row r="436" spans="2:8" x14ac:dyDescent="0.35">
      <c r="B436" s="5"/>
      <c r="C436" s="5"/>
      <c r="D436" s="1"/>
      <c r="E436" s="5"/>
      <c r="G436" s="6"/>
      <c r="H436" s="1"/>
    </row>
    <row r="437" spans="2:8" x14ac:dyDescent="0.35">
      <c r="B437" s="5"/>
      <c r="C437" s="5"/>
      <c r="D437" s="1"/>
      <c r="E437" s="5"/>
      <c r="G437" s="6"/>
      <c r="H437" s="1"/>
    </row>
    <row r="438" spans="2:8" x14ac:dyDescent="0.35">
      <c r="B438" s="5"/>
      <c r="C438" s="5"/>
      <c r="D438" s="1"/>
      <c r="E438" s="5"/>
      <c r="G438" s="6"/>
      <c r="H438" s="1"/>
    </row>
    <row r="439" spans="2:8" x14ac:dyDescent="0.35">
      <c r="B439" s="5"/>
      <c r="C439" s="5"/>
      <c r="D439" s="1"/>
      <c r="E439" s="5"/>
      <c r="G439" s="6"/>
      <c r="H439" s="1"/>
    </row>
    <row r="440" spans="2:8" x14ac:dyDescent="0.35">
      <c r="B440" s="5"/>
      <c r="C440" s="5"/>
      <c r="D440" s="1"/>
      <c r="E440" s="5"/>
      <c r="G440" s="6"/>
      <c r="H440" s="1"/>
    </row>
    <row r="441" spans="2:8" x14ac:dyDescent="0.35">
      <c r="B441" s="5"/>
      <c r="C441" s="5"/>
      <c r="D441" s="1"/>
      <c r="E441" s="5"/>
      <c r="G441" s="6"/>
      <c r="H441" s="1"/>
    </row>
    <row r="442" spans="2:8" x14ac:dyDescent="0.35">
      <c r="B442" s="5"/>
      <c r="C442" s="5"/>
      <c r="D442" s="1"/>
      <c r="E442" s="5"/>
      <c r="G442" s="6"/>
      <c r="H442" s="1"/>
    </row>
    <row r="443" spans="2:8" x14ac:dyDescent="0.35">
      <c r="B443" s="5"/>
      <c r="C443" s="5"/>
      <c r="D443" s="1"/>
      <c r="E443" s="5"/>
      <c r="G443" s="6"/>
      <c r="H443" s="1"/>
    </row>
    <row r="444" spans="2:8" x14ac:dyDescent="0.35">
      <c r="B444" s="5"/>
      <c r="C444" s="5"/>
      <c r="D444" s="1"/>
      <c r="E444" s="5"/>
      <c r="G444" s="6"/>
      <c r="H444" s="1"/>
    </row>
    <row r="445" spans="2:8" x14ac:dyDescent="0.35">
      <c r="B445" s="5"/>
      <c r="C445" s="5"/>
      <c r="D445" s="1"/>
      <c r="E445" s="5"/>
      <c r="G445" s="6"/>
      <c r="H445" s="1"/>
    </row>
    <row r="446" spans="2:8" x14ac:dyDescent="0.35">
      <c r="B446" s="5"/>
      <c r="C446" s="5"/>
      <c r="D446" s="1"/>
      <c r="E446" s="5"/>
      <c r="G446" s="6"/>
      <c r="H446" s="1"/>
    </row>
    <row r="447" spans="2:8" x14ac:dyDescent="0.35">
      <c r="B447" s="5"/>
      <c r="C447" s="5"/>
      <c r="D447" s="1"/>
      <c r="E447" s="5"/>
      <c r="G447" s="6"/>
      <c r="H447" s="1"/>
    </row>
    <row r="448" spans="2:8" x14ac:dyDescent="0.35">
      <c r="B448" s="5"/>
      <c r="C448" s="5"/>
      <c r="D448" s="1"/>
      <c r="E448" s="5"/>
      <c r="G448" s="6"/>
      <c r="H448" s="1"/>
    </row>
    <row r="449" spans="2:8" x14ac:dyDescent="0.35">
      <c r="B449" s="5"/>
      <c r="C449" s="5"/>
      <c r="D449" s="1"/>
      <c r="E449" s="5"/>
      <c r="G449" s="6"/>
      <c r="H449" s="1"/>
    </row>
    <row r="450" spans="2:8" x14ac:dyDescent="0.35">
      <c r="B450" s="5"/>
      <c r="C450" s="5"/>
      <c r="D450" s="1"/>
      <c r="E450" s="5"/>
      <c r="G450" s="6"/>
      <c r="H450" s="1"/>
    </row>
    <row r="451" spans="2:8" x14ac:dyDescent="0.35">
      <c r="B451" s="5"/>
      <c r="C451" s="5"/>
      <c r="D451" s="1"/>
      <c r="E451" s="5"/>
      <c r="G451" s="6"/>
      <c r="H451" s="1"/>
    </row>
    <row r="452" spans="2:8" x14ac:dyDescent="0.35">
      <c r="B452" s="5"/>
      <c r="C452" s="5"/>
      <c r="D452" s="1"/>
      <c r="E452" s="5"/>
      <c r="G452" s="6"/>
      <c r="H452" s="1"/>
    </row>
    <row r="453" spans="2:8" x14ac:dyDescent="0.35">
      <c r="B453" s="5"/>
      <c r="C453" s="5"/>
      <c r="D453" s="1"/>
      <c r="E453" s="5"/>
      <c r="G453" s="6"/>
      <c r="H453" s="1"/>
    </row>
    <row r="454" spans="2:8" x14ac:dyDescent="0.35">
      <c r="B454" s="5"/>
      <c r="C454" s="5"/>
      <c r="D454" s="1"/>
      <c r="E454" s="5"/>
      <c r="G454" s="6"/>
      <c r="H454" s="1"/>
    </row>
    <row r="455" spans="2:8" x14ac:dyDescent="0.35">
      <c r="B455" s="5"/>
      <c r="C455" s="5"/>
      <c r="D455" s="1"/>
      <c r="E455" s="5"/>
      <c r="G455" s="6"/>
      <c r="H455" s="1"/>
    </row>
    <row r="456" spans="2:8" x14ac:dyDescent="0.35">
      <c r="B456" s="5"/>
      <c r="C456" s="5"/>
      <c r="D456" s="1"/>
      <c r="E456" s="5"/>
      <c r="G456" s="6"/>
      <c r="H456" s="1"/>
    </row>
    <row r="457" spans="2:8" x14ac:dyDescent="0.35">
      <c r="B457" s="5"/>
      <c r="C457" s="5"/>
      <c r="D457" s="1"/>
      <c r="E457" s="5"/>
      <c r="G457" s="6"/>
      <c r="H457" s="1"/>
    </row>
    <row r="458" spans="2:8" x14ac:dyDescent="0.35">
      <c r="B458" s="5"/>
      <c r="C458" s="5"/>
      <c r="D458" s="1"/>
      <c r="E458" s="5"/>
      <c r="G458" s="6"/>
      <c r="H458" s="1"/>
    </row>
    <row r="459" spans="2:8" x14ac:dyDescent="0.35">
      <c r="B459" s="5"/>
      <c r="C459" s="5"/>
      <c r="D459" s="1"/>
      <c r="E459" s="5"/>
      <c r="G459" s="6"/>
      <c r="H459" s="1"/>
    </row>
    <row r="460" spans="2:8" x14ac:dyDescent="0.35">
      <c r="B460" s="5"/>
      <c r="C460" s="5"/>
      <c r="D460" s="1"/>
      <c r="E460" s="5"/>
      <c r="G460" s="6"/>
      <c r="H460" s="1"/>
    </row>
    <row r="461" spans="2:8" x14ac:dyDescent="0.35">
      <c r="B461" s="5"/>
      <c r="C461" s="5"/>
      <c r="D461" s="1"/>
      <c r="E461" s="5"/>
      <c r="G461" s="6"/>
      <c r="H461" s="1"/>
    </row>
    <row r="462" spans="2:8" x14ac:dyDescent="0.35">
      <c r="B462" s="5"/>
      <c r="C462" s="5"/>
      <c r="D462" s="1"/>
      <c r="E462" s="5"/>
      <c r="G462" s="6"/>
      <c r="H462" s="1"/>
    </row>
    <row r="463" spans="2:8" x14ac:dyDescent="0.35">
      <c r="B463" s="5"/>
      <c r="C463" s="5"/>
      <c r="D463" s="1"/>
      <c r="E463" s="5"/>
      <c r="G463" s="6"/>
      <c r="H463" s="1"/>
    </row>
    <row r="464" spans="2:8" x14ac:dyDescent="0.35">
      <c r="B464" s="5"/>
      <c r="C464" s="5"/>
      <c r="D464" s="1"/>
      <c r="E464" s="5"/>
      <c r="G464" s="6"/>
      <c r="H464" s="1"/>
    </row>
    <row r="465" spans="2:8" x14ac:dyDescent="0.35">
      <c r="B465" s="5"/>
      <c r="C465" s="5"/>
      <c r="D465" s="1"/>
      <c r="E465" s="5"/>
      <c r="G465" s="6"/>
      <c r="H465" s="1"/>
    </row>
    <row r="466" spans="2:8" x14ac:dyDescent="0.35">
      <c r="B466" s="5"/>
      <c r="C466" s="5"/>
      <c r="D466" s="1"/>
      <c r="E466" s="5"/>
      <c r="G466" s="6"/>
      <c r="H466" s="1"/>
    </row>
    <row r="467" spans="2:8" x14ac:dyDescent="0.35">
      <c r="B467" s="5"/>
      <c r="C467" s="5"/>
      <c r="D467" s="1"/>
      <c r="E467" s="5"/>
      <c r="G467" s="6"/>
      <c r="H467" s="1"/>
    </row>
    <row r="468" spans="2:8" x14ac:dyDescent="0.35">
      <c r="B468" s="5"/>
      <c r="C468" s="5"/>
      <c r="D468" s="1"/>
      <c r="E468" s="5"/>
      <c r="G468" s="6"/>
      <c r="H468" s="1"/>
    </row>
    <row r="469" spans="2:8" x14ac:dyDescent="0.35">
      <c r="B469" s="5"/>
      <c r="C469" s="5"/>
      <c r="D469" s="1"/>
      <c r="E469" s="5"/>
      <c r="G469" s="6"/>
      <c r="H469" s="1"/>
    </row>
    <row r="470" spans="2:8" x14ac:dyDescent="0.35">
      <c r="B470" s="5"/>
      <c r="C470" s="5"/>
      <c r="D470" s="1"/>
      <c r="E470" s="5"/>
      <c r="G470" s="6"/>
      <c r="H470" s="1"/>
    </row>
    <row r="471" spans="2:8" x14ac:dyDescent="0.35">
      <c r="B471" s="5"/>
      <c r="C471" s="5"/>
      <c r="D471" s="1"/>
      <c r="E471" s="5"/>
      <c r="G471" s="6"/>
      <c r="H471" s="1"/>
    </row>
    <row r="472" spans="2:8" x14ac:dyDescent="0.35">
      <c r="B472" s="5"/>
      <c r="C472" s="5"/>
      <c r="D472" s="1"/>
      <c r="E472" s="5"/>
      <c r="G472" s="6"/>
      <c r="H472" s="1"/>
    </row>
    <row r="473" spans="2:8" x14ac:dyDescent="0.35">
      <c r="B473" s="5"/>
      <c r="C473" s="5"/>
      <c r="D473" s="1"/>
      <c r="E473" s="5"/>
      <c r="G473" s="6"/>
      <c r="H473" s="1"/>
    </row>
    <row r="474" spans="2:8" x14ac:dyDescent="0.35">
      <c r="B474" s="5"/>
      <c r="C474" s="5"/>
      <c r="D474" s="1"/>
      <c r="E474" s="5"/>
      <c r="G474" s="6"/>
      <c r="H474" s="1"/>
    </row>
    <row r="475" spans="2:8" x14ac:dyDescent="0.35">
      <c r="B475" s="5"/>
      <c r="C475" s="5"/>
      <c r="D475" s="1"/>
      <c r="E475" s="5"/>
      <c r="G475" s="6"/>
      <c r="H475" s="1"/>
    </row>
    <row r="476" spans="2:8" x14ac:dyDescent="0.35">
      <c r="B476" s="5"/>
      <c r="C476" s="5"/>
      <c r="D476" s="1"/>
      <c r="E476" s="5"/>
      <c r="G476" s="6"/>
      <c r="H476" s="1"/>
    </row>
    <row r="477" spans="2:8" x14ac:dyDescent="0.35">
      <c r="B477" s="5"/>
      <c r="C477" s="5"/>
      <c r="D477" s="1"/>
      <c r="E477" s="5"/>
      <c r="G477" s="6"/>
      <c r="H477" s="1"/>
    </row>
    <row r="478" spans="2:8" x14ac:dyDescent="0.35">
      <c r="B478" s="5"/>
      <c r="C478" s="5"/>
      <c r="D478" s="1"/>
      <c r="E478" s="5"/>
      <c r="G478" s="6"/>
      <c r="H478" s="1"/>
    </row>
    <row r="479" spans="2:8" x14ac:dyDescent="0.35">
      <c r="B479" s="5"/>
      <c r="C479" s="5"/>
      <c r="D479" s="1"/>
      <c r="E479" s="5"/>
      <c r="G479" s="6"/>
      <c r="H479" s="1"/>
    </row>
    <row r="480" spans="2:8" x14ac:dyDescent="0.35">
      <c r="B480" s="5"/>
      <c r="C480" s="5"/>
      <c r="D480" s="1"/>
      <c r="E480" s="5"/>
      <c r="G480" s="6"/>
      <c r="H480" s="1"/>
    </row>
    <row r="481" spans="2:8" x14ac:dyDescent="0.35">
      <c r="B481" s="5"/>
      <c r="C481" s="5"/>
      <c r="D481" s="1"/>
      <c r="E481" s="5"/>
      <c r="G481" s="6"/>
      <c r="H481" s="1"/>
    </row>
    <row r="482" spans="2:8" x14ac:dyDescent="0.35">
      <c r="B482" s="5"/>
      <c r="C482" s="5"/>
      <c r="D482" s="1"/>
      <c r="E482" s="5"/>
      <c r="G482" s="6"/>
      <c r="H482" s="1"/>
    </row>
    <row r="483" spans="2:8" x14ac:dyDescent="0.35">
      <c r="B483" s="5"/>
      <c r="C483" s="5"/>
      <c r="D483" s="1"/>
      <c r="E483" s="5"/>
      <c r="G483" s="6"/>
      <c r="H483" s="1"/>
    </row>
    <row r="484" spans="2:8" x14ac:dyDescent="0.35">
      <c r="B484" s="5"/>
      <c r="C484" s="5"/>
      <c r="D484" s="1"/>
      <c r="E484" s="5"/>
      <c r="G484" s="6"/>
      <c r="H484" s="1"/>
    </row>
    <row r="485" spans="2:8" x14ac:dyDescent="0.35">
      <c r="B485" s="5"/>
      <c r="C485" s="5"/>
      <c r="D485" s="1"/>
      <c r="E485" s="5"/>
      <c r="G485" s="6"/>
      <c r="H485" s="1"/>
    </row>
    <row r="486" spans="2:8" x14ac:dyDescent="0.35">
      <c r="B486" s="5"/>
      <c r="C486" s="5"/>
      <c r="D486" s="1"/>
      <c r="E486" s="5"/>
      <c r="G486" s="6"/>
      <c r="H486" s="1"/>
    </row>
    <row r="487" spans="2:8" x14ac:dyDescent="0.35">
      <c r="B487" s="5"/>
      <c r="C487" s="5"/>
      <c r="D487" s="1"/>
      <c r="E487" s="5"/>
      <c r="G487" s="6"/>
      <c r="H487" s="1"/>
    </row>
    <row r="488" spans="2:8" x14ac:dyDescent="0.35">
      <c r="B488" s="5"/>
      <c r="C488" s="5"/>
      <c r="D488" s="1"/>
      <c r="E488" s="5"/>
      <c r="G488" s="6"/>
      <c r="H488" s="1"/>
    </row>
    <row r="489" spans="2:8" x14ac:dyDescent="0.35">
      <c r="B489" s="5"/>
      <c r="C489" s="5"/>
      <c r="D489" s="1"/>
      <c r="E489" s="5"/>
      <c r="G489" s="6"/>
      <c r="H489" s="1"/>
    </row>
    <row r="490" spans="2:8" x14ac:dyDescent="0.35">
      <c r="B490" s="5"/>
      <c r="C490" s="5"/>
      <c r="D490" s="1"/>
      <c r="E490" s="5"/>
      <c r="G490" s="6"/>
      <c r="H490" s="1"/>
    </row>
    <row r="491" spans="2:8" x14ac:dyDescent="0.35">
      <c r="B491" s="5"/>
      <c r="C491" s="5"/>
      <c r="D491" s="1"/>
      <c r="E491" s="5"/>
      <c r="G491" s="6"/>
      <c r="H491" s="1"/>
    </row>
    <row r="492" spans="2:8" x14ac:dyDescent="0.35">
      <c r="B492" s="5"/>
      <c r="C492" s="5"/>
      <c r="D492" s="1"/>
      <c r="E492" s="5"/>
      <c r="G492" s="6"/>
      <c r="H492" s="1"/>
    </row>
    <row r="493" spans="2:8" x14ac:dyDescent="0.35">
      <c r="B493" s="5"/>
      <c r="C493" s="5"/>
      <c r="D493" s="1"/>
      <c r="E493" s="5"/>
      <c r="G493" s="6"/>
      <c r="H493" s="1"/>
    </row>
    <row r="494" spans="2:8" x14ac:dyDescent="0.35">
      <c r="B494" s="5"/>
      <c r="C494" s="5"/>
      <c r="D494" s="1"/>
      <c r="E494" s="5"/>
      <c r="G494" s="6"/>
      <c r="H494" s="1"/>
    </row>
    <row r="495" spans="2:8" x14ac:dyDescent="0.35">
      <c r="B495" s="5"/>
      <c r="C495" s="5"/>
      <c r="D495" s="1"/>
      <c r="E495" s="5"/>
      <c r="G495" s="6"/>
      <c r="H495" s="1"/>
    </row>
    <row r="496" spans="2:8" x14ac:dyDescent="0.35">
      <c r="B496" s="5"/>
      <c r="C496" s="5"/>
      <c r="D496" s="1"/>
      <c r="E496" s="5"/>
      <c r="G496" s="6"/>
      <c r="H496" s="1"/>
    </row>
    <row r="497" spans="2:8" x14ac:dyDescent="0.35">
      <c r="B497" s="5"/>
      <c r="C497" s="5"/>
      <c r="D497" s="1"/>
      <c r="E497" s="5"/>
      <c r="G497" s="6"/>
      <c r="H497" s="1"/>
    </row>
    <row r="498" spans="2:8" x14ac:dyDescent="0.35">
      <c r="B498" s="5"/>
      <c r="C498" s="5"/>
      <c r="D498" s="1"/>
      <c r="E498" s="5"/>
      <c r="G498" s="6"/>
      <c r="H498" s="1"/>
    </row>
    <row r="499" spans="2:8" x14ac:dyDescent="0.35">
      <c r="B499" s="5"/>
      <c r="C499" s="5"/>
      <c r="D499" s="1"/>
      <c r="E499" s="5"/>
      <c r="G499" s="6"/>
      <c r="H499" s="1"/>
    </row>
    <row r="500" spans="2:8" x14ac:dyDescent="0.35">
      <c r="B500" s="5"/>
      <c r="C500" s="5"/>
      <c r="D500" s="1"/>
      <c r="E500" s="5"/>
      <c r="G500" s="6"/>
      <c r="H500" s="1"/>
    </row>
    <row r="501" spans="2:8" x14ac:dyDescent="0.35">
      <c r="B501" s="5"/>
      <c r="C501" s="5"/>
      <c r="D501" s="1"/>
      <c r="E501" s="5"/>
      <c r="G501" s="6"/>
      <c r="H501" s="1"/>
    </row>
    <row r="502" spans="2:8" x14ac:dyDescent="0.35">
      <c r="B502" s="5"/>
      <c r="C502" s="5"/>
      <c r="D502" s="1"/>
      <c r="E502" s="5"/>
      <c r="G502" s="6"/>
      <c r="H502" s="1"/>
    </row>
    <row r="503" spans="2:8" x14ac:dyDescent="0.35">
      <c r="B503" s="5"/>
      <c r="C503" s="5"/>
      <c r="D503" s="1"/>
      <c r="E503" s="5"/>
      <c r="G503" s="6"/>
      <c r="H503" s="1"/>
    </row>
    <row r="504" spans="2:8" x14ac:dyDescent="0.35">
      <c r="B504" s="5"/>
      <c r="C504" s="5"/>
      <c r="D504" s="1"/>
      <c r="E504" s="5"/>
      <c r="G504" s="6"/>
      <c r="H504" s="1"/>
    </row>
    <row r="505" spans="2:8" x14ac:dyDescent="0.35">
      <c r="B505" s="5"/>
      <c r="C505" s="5"/>
      <c r="D505" s="1"/>
      <c r="E505" s="5"/>
      <c r="G505" s="6"/>
      <c r="H505" s="1"/>
    </row>
    <row r="506" spans="2:8" x14ac:dyDescent="0.35">
      <c r="B506" s="5"/>
      <c r="C506" s="5"/>
      <c r="D506" s="1"/>
      <c r="E506" s="5"/>
      <c r="G506" s="6"/>
      <c r="H506" s="1"/>
    </row>
    <row r="507" spans="2:8" x14ac:dyDescent="0.35">
      <c r="B507" s="5"/>
      <c r="C507" s="5"/>
      <c r="D507" s="1"/>
      <c r="E507" s="5"/>
      <c r="G507" s="6"/>
      <c r="H507" s="1"/>
    </row>
    <row r="508" spans="2:8" x14ac:dyDescent="0.35">
      <c r="B508" s="5"/>
      <c r="C508" s="5"/>
      <c r="D508" s="1"/>
      <c r="E508" s="5"/>
      <c r="G508" s="6"/>
      <c r="H508" s="1"/>
    </row>
    <row r="509" spans="2:8" x14ac:dyDescent="0.35">
      <c r="B509" s="5"/>
      <c r="C509" s="5"/>
      <c r="D509" s="1"/>
      <c r="E509" s="5"/>
      <c r="G509" s="6"/>
      <c r="H509" s="1"/>
    </row>
    <row r="510" spans="2:8" x14ac:dyDescent="0.35">
      <c r="B510" s="5"/>
      <c r="C510" s="5"/>
      <c r="D510" s="1"/>
      <c r="E510" s="5"/>
      <c r="G510" s="6"/>
      <c r="H510" s="1"/>
    </row>
    <row r="511" spans="2:8" x14ac:dyDescent="0.35">
      <c r="B511" s="5"/>
      <c r="C511" s="5"/>
      <c r="D511" s="1"/>
      <c r="E511" s="5"/>
      <c r="G511" s="6"/>
      <c r="H511" s="1"/>
    </row>
    <row r="512" spans="2:8" x14ac:dyDescent="0.35">
      <c r="B512" s="5"/>
      <c r="C512" s="5"/>
      <c r="D512" s="1"/>
      <c r="E512" s="5"/>
      <c r="G512" s="6"/>
      <c r="H512" s="1"/>
    </row>
    <row r="513" spans="2:8" x14ac:dyDescent="0.35">
      <c r="B513" s="5"/>
      <c r="C513" s="5"/>
      <c r="D513" s="1"/>
      <c r="E513" s="5"/>
      <c r="G513" s="6"/>
      <c r="H513" s="1"/>
    </row>
    <row r="514" spans="2:8" x14ac:dyDescent="0.35">
      <c r="B514" s="5"/>
      <c r="C514" s="5"/>
      <c r="D514" s="1"/>
      <c r="E514" s="5"/>
      <c r="G514" s="6"/>
      <c r="H514" s="1"/>
    </row>
    <row r="515" spans="2:8" x14ac:dyDescent="0.35">
      <c r="B515" s="5"/>
      <c r="C515" s="5"/>
      <c r="D515" s="1"/>
      <c r="E515" s="5"/>
      <c r="G515" s="6"/>
      <c r="H515" s="1"/>
    </row>
    <row r="516" spans="2:8" x14ac:dyDescent="0.35">
      <c r="B516" s="5"/>
      <c r="C516" s="5"/>
      <c r="D516" s="1"/>
      <c r="E516" s="5"/>
      <c r="G516" s="6"/>
      <c r="H516" s="1"/>
    </row>
    <row r="517" spans="2:8" x14ac:dyDescent="0.35">
      <c r="B517" s="5"/>
      <c r="C517" s="5"/>
      <c r="D517" s="1"/>
      <c r="E517" s="5"/>
      <c r="G517" s="6"/>
      <c r="H517" s="1"/>
    </row>
    <row r="518" spans="2:8" x14ac:dyDescent="0.35">
      <c r="B518" s="5"/>
      <c r="C518" s="5"/>
      <c r="D518" s="1"/>
      <c r="E518" s="5"/>
      <c r="G518" s="6"/>
      <c r="H518" s="1"/>
    </row>
    <row r="519" spans="2:8" x14ac:dyDescent="0.35">
      <c r="B519" s="5"/>
      <c r="C519" s="5"/>
      <c r="D519" s="1"/>
      <c r="E519" s="5"/>
      <c r="G519" s="6"/>
      <c r="H519" s="1"/>
    </row>
    <row r="520" spans="2:8" x14ac:dyDescent="0.35">
      <c r="B520" s="5"/>
      <c r="C520" s="5"/>
      <c r="D520" s="1"/>
      <c r="E520" s="5"/>
      <c r="G520" s="6"/>
      <c r="H520" s="1"/>
    </row>
    <row r="521" spans="2:8" x14ac:dyDescent="0.35">
      <c r="B521" s="5"/>
      <c r="C521" s="5"/>
      <c r="D521" s="1"/>
      <c r="E521" s="5"/>
      <c r="G521" s="6"/>
      <c r="H521" s="1"/>
    </row>
    <row r="522" spans="2:8" x14ac:dyDescent="0.35">
      <c r="B522" s="5"/>
      <c r="C522" s="5"/>
      <c r="D522" s="1"/>
      <c r="E522" s="5"/>
      <c r="G522" s="6"/>
      <c r="H522" s="1"/>
    </row>
    <row r="523" spans="2:8" x14ac:dyDescent="0.35">
      <c r="B523" s="5"/>
      <c r="C523" s="5"/>
      <c r="D523" s="1"/>
      <c r="E523" s="5"/>
      <c r="G523" s="6"/>
      <c r="H523" s="1"/>
    </row>
    <row r="524" spans="2:8" x14ac:dyDescent="0.35">
      <c r="B524" s="5"/>
      <c r="C524" s="5"/>
      <c r="D524" s="1"/>
      <c r="E524" s="5"/>
      <c r="G524" s="6"/>
      <c r="H524" s="1"/>
    </row>
    <row r="525" spans="2:8" x14ac:dyDescent="0.35">
      <c r="B525" s="5"/>
      <c r="C525" s="5"/>
      <c r="D525" s="1"/>
      <c r="E525" s="5"/>
      <c r="G525" s="6"/>
      <c r="H525" s="1"/>
    </row>
    <row r="526" spans="2:8" x14ac:dyDescent="0.35">
      <c r="B526" s="5"/>
      <c r="C526" s="5"/>
      <c r="D526" s="1"/>
      <c r="E526" s="5"/>
      <c r="G526" s="6"/>
      <c r="H526" s="1"/>
    </row>
    <row r="527" spans="2:8" x14ac:dyDescent="0.35">
      <c r="B527" s="5"/>
      <c r="C527" s="5"/>
      <c r="D527" s="1"/>
      <c r="E527" s="5"/>
      <c r="G527" s="6"/>
      <c r="H527" s="1"/>
    </row>
    <row r="528" spans="2:8" x14ac:dyDescent="0.35">
      <c r="B528" s="5"/>
      <c r="C528" s="5"/>
      <c r="D528" s="1"/>
      <c r="E528" s="5"/>
      <c r="G528" s="6"/>
      <c r="H528" s="1"/>
    </row>
    <row r="529" spans="2:8" x14ac:dyDescent="0.35">
      <c r="B529" s="5"/>
      <c r="C529" s="5"/>
      <c r="D529" s="1"/>
      <c r="E529" s="5"/>
      <c r="G529" s="6"/>
      <c r="H529" s="1"/>
    </row>
    <row r="530" spans="2:8" x14ac:dyDescent="0.35">
      <c r="B530" s="5"/>
      <c r="C530" s="5"/>
      <c r="D530" s="1"/>
      <c r="E530" s="5"/>
      <c r="G530" s="6"/>
      <c r="H530" s="1"/>
    </row>
    <row r="531" spans="2:8" x14ac:dyDescent="0.35">
      <c r="B531" s="5"/>
      <c r="C531" s="5"/>
      <c r="D531" s="1"/>
      <c r="E531" s="5"/>
      <c r="G531" s="6"/>
      <c r="H531" s="1"/>
    </row>
    <row r="532" spans="2:8" x14ac:dyDescent="0.35">
      <c r="B532" s="5"/>
      <c r="C532" s="5"/>
      <c r="D532" s="1"/>
      <c r="E532" s="5"/>
      <c r="G532" s="6"/>
      <c r="H532" s="1"/>
    </row>
    <row r="533" spans="2:8" x14ac:dyDescent="0.35">
      <c r="B533" s="5"/>
      <c r="C533" s="5"/>
      <c r="D533" s="1"/>
      <c r="E533" s="5"/>
      <c r="G533" s="6"/>
      <c r="H533" s="1"/>
    </row>
    <row r="534" spans="2:8" x14ac:dyDescent="0.35">
      <c r="B534" s="5"/>
      <c r="C534" s="5"/>
      <c r="D534" s="1"/>
      <c r="E534" s="5"/>
      <c r="G534" s="6"/>
      <c r="H534" s="1"/>
    </row>
    <row r="535" spans="2:8" x14ac:dyDescent="0.35">
      <c r="B535" s="5"/>
      <c r="C535" s="5"/>
      <c r="D535" s="1"/>
      <c r="E535" s="5"/>
      <c r="G535" s="6"/>
      <c r="H535" s="1"/>
    </row>
    <row r="536" spans="2:8" x14ac:dyDescent="0.35">
      <c r="B536" s="5"/>
      <c r="C536" s="5"/>
      <c r="D536" s="1"/>
      <c r="E536" s="5"/>
      <c r="G536" s="6"/>
      <c r="H536" s="1"/>
    </row>
    <row r="537" spans="2:8" x14ac:dyDescent="0.35">
      <c r="B537" s="5"/>
      <c r="C537" s="5"/>
      <c r="D537" s="1"/>
      <c r="E537" s="5"/>
      <c r="G537" s="6"/>
      <c r="H537" s="1"/>
    </row>
    <row r="538" spans="2:8" x14ac:dyDescent="0.35">
      <c r="B538" s="5"/>
      <c r="C538" s="5"/>
      <c r="D538" s="1"/>
      <c r="E538" s="5"/>
      <c r="G538" s="6"/>
      <c r="H538" s="1"/>
    </row>
    <row r="539" spans="2:8" x14ac:dyDescent="0.35">
      <c r="B539" s="5"/>
      <c r="C539" s="5"/>
      <c r="D539" s="1"/>
      <c r="E539" s="5"/>
      <c r="G539" s="6"/>
      <c r="H539" s="1"/>
    </row>
    <row r="540" spans="2:8" x14ac:dyDescent="0.35">
      <c r="B540" s="5"/>
      <c r="C540" s="5"/>
      <c r="D540" s="1"/>
      <c r="E540" s="5"/>
      <c r="G540" s="6"/>
      <c r="H540" s="1"/>
    </row>
    <row r="541" spans="2:8" x14ac:dyDescent="0.35">
      <c r="B541" s="5"/>
      <c r="C541" s="5"/>
      <c r="D541" s="1"/>
      <c r="E541" s="5"/>
      <c r="G541" s="6"/>
      <c r="H541" s="1"/>
    </row>
    <row r="542" spans="2:8" x14ac:dyDescent="0.35">
      <c r="B542" s="5"/>
      <c r="C542" s="5"/>
      <c r="D542" s="1"/>
      <c r="E542" s="5"/>
      <c r="G542" s="6"/>
      <c r="H542" s="1"/>
    </row>
    <row r="543" spans="2:8" x14ac:dyDescent="0.35">
      <c r="B543" s="5"/>
      <c r="C543" s="5"/>
      <c r="D543" s="1"/>
      <c r="E543" s="5"/>
      <c r="G543" s="6"/>
      <c r="H543" s="1"/>
    </row>
    <row r="544" spans="2:8" x14ac:dyDescent="0.35">
      <c r="B544" s="5"/>
      <c r="C544" s="5"/>
      <c r="D544" s="1"/>
      <c r="E544" s="5"/>
      <c r="G544" s="6"/>
      <c r="H544" s="1"/>
    </row>
    <row r="545" spans="2:8" x14ac:dyDescent="0.35">
      <c r="B545" s="5"/>
      <c r="C545" s="5"/>
      <c r="D545" s="1"/>
      <c r="E545" s="5"/>
      <c r="G545" s="6"/>
      <c r="H545" s="1"/>
    </row>
    <row r="546" spans="2:8" x14ac:dyDescent="0.35">
      <c r="B546" s="5"/>
      <c r="C546" s="5"/>
      <c r="D546" s="1"/>
      <c r="E546" s="5"/>
      <c r="G546" s="6"/>
      <c r="H546" s="1"/>
    </row>
    <row r="547" spans="2:8" x14ac:dyDescent="0.35">
      <c r="B547" s="5"/>
      <c r="C547" s="5"/>
      <c r="D547" s="1"/>
      <c r="E547" s="5"/>
      <c r="G547" s="6"/>
      <c r="H547" s="1"/>
    </row>
    <row r="548" spans="2:8" x14ac:dyDescent="0.35">
      <c r="B548" s="5"/>
      <c r="C548" s="5"/>
      <c r="D548" s="1"/>
      <c r="E548" s="5"/>
      <c r="G548" s="6"/>
      <c r="H548" s="1"/>
    </row>
    <row r="549" spans="2:8" x14ac:dyDescent="0.35">
      <c r="B549" s="5"/>
      <c r="C549" s="5"/>
      <c r="D549" s="1"/>
      <c r="E549" s="5"/>
      <c r="G549" s="6"/>
      <c r="H549" s="1"/>
    </row>
    <row r="550" spans="2:8" x14ac:dyDescent="0.35">
      <c r="B550" s="5"/>
      <c r="C550" s="5"/>
      <c r="D550" s="1"/>
      <c r="E550" s="5"/>
      <c r="G550" s="6"/>
      <c r="H550" s="1"/>
    </row>
    <row r="551" spans="2:8" x14ac:dyDescent="0.35">
      <c r="B551" s="5"/>
      <c r="C551" s="5"/>
      <c r="D551" s="1"/>
      <c r="E551" s="5"/>
      <c r="G551" s="6"/>
      <c r="H551" s="1"/>
    </row>
    <row r="552" spans="2:8" x14ac:dyDescent="0.35">
      <c r="B552" s="5"/>
      <c r="C552" s="5"/>
      <c r="D552" s="1"/>
      <c r="E552" s="5"/>
      <c r="G552" s="6"/>
      <c r="H552" s="1"/>
    </row>
    <row r="553" spans="2:8" x14ac:dyDescent="0.35">
      <c r="B553" s="5"/>
      <c r="C553" s="5"/>
      <c r="D553" s="1"/>
      <c r="E553" s="5"/>
      <c r="G553" s="6"/>
      <c r="H553" s="1"/>
    </row>
    <row r="554" spans="2:8" x14ac:dyDescent="0.35">
      <c r="B554" s="5"/>
      <c r="C554" s="5"/>
      <c r="D554" s="1"/>
      <c r="E554" s="5"/>
      <c r="G554" s="6"/>
      <c r="H554" s="1"/>
    </row>
    <row r="555" spans="2:8" x14ac:dyDescent="0.35">
      <c r="B555" s="5"/>
      <c r="C555" s="5"/>
      <c r="D555" s="1"/>
      <c r="E555" s="5"/>
      <c r="G555" s="6"/>
      <c r="H555" s="1"/>
    </row>
    <row r="556" spans="2:8" x14ac:dyDescent="0.35">
      <c r="B556" s="5"/>
      <c r="C556" s="5"/>
      <c r="D556" s="1"/>
      <c r="E556" s="5"/>
      <c r="G556" s="6"/>
      <c r="H556" s="1"/>
    </row>
    <row r="557" spans="2:8" x14ac:dyDescent="0.35">
      <c r="B557" s="5"/>
      <c r="C557" s="5"/>
      <c r="D557" s="1"/>
      <c r="E557" s="5"/>
      <c r="G557" s="6"/>
      <c r="H557" s="1"/>
    </row>
    <row r="558" spans="2:8" x14ac:dyDescent="0.35">
      <c r="B558" s="5"/>
      <c r="C558" s="5"/>
      <c r="D558" s="1"/>
      <c r="E558" s="5"/>
      <c r="G558" s="6"/>
      <c r="H558" s="1"/>
    </row>
    <row r="559" spans="2:8" x14ac:dyDescent="0.35">
      <c r="B559" s="5"/>
      <c r="C559" s="5"/>
      <c r="D559" s="1"/>
      <c r="E559" s="5"/>
      <c r="G559" s="6"/>
      <c r="H559" s="1"/>
    </row>
    <row r="560" spans="2:8" x14ac:dyDescent="0.35">
      <c r="B560" s="5"/>
      <c r="C560" s="5"/>
      <c r="D560" s="1"/>
      <c r="E560" s="5"/>
      <c r="G560" s="6"/>
      <c r="H560" s="1"/>
    </row>
    <row r="561" spans="2:8" x14ac:dyDescent="0.35">
      <c r="B561" s="5"/>
      <c r="C561" s="5"/>
      <c r="D561" s="1"/>
      <c r="E561" s="5"/>
      <c r="G561" s="6"/>
      <c r="H561" s="1"/>
    </row>
    <row r="562" spans="2:8" x14ac:dyDescent="0.35">
      <c r="B562" s="5"/>
      <c r="C562" s="5"/>
      <c r="D562" s="1"/>
      <c r="E562" s="5"/>
      <c r="G562" s="6"/>
      <c r="H562" s="1"/>
    </row>
    <row r="563" spans="2:8" x14ac:dyDescent="0.35">
      <c r="B563" s="5"/>
      <c r="C563" s="5"/>
      <c r="D563" s="1"/>
      <c r="E563" s="5"/>
      <c r="G563" s="6"/>
      <c r="H563" s="1"/>
    </row>
    <row r="564" spans="2:8" x14ac:dyDescent="0.35">
      <c r="B564" s="5"/>
      <c r="C564" s="5"/>
      <c r="D564" s="1"/>
      <c r="E564" s="5"/>
      <c r="G564" s="6"/>
      <c r="H564" s="1"/>
    </row>
    <row r="565" spans="2:8" x14ac:dyDescent="0.35">
      <c r="B565" s="5"/>
      <c r="C565" s="5"/>
      <c r="D565" s="1"/>
      <c r="E565" s="5"/>
      <c r="G565" s="6"/>
      <c r="H565" s="1"/>
    </row>
    <row r="566" spans="2:8" x14ac:dyDescent="0.35">
      <c r="B566" s="5"/>
      <c r="C566" s="5"/>
      <c r="D566" s="1"/>
      <c r="E566" s="5"/>
      <c r="G566" s="6"/>
      <c r="H566" s="1"/>
    </row>
    <row r="567" spans="2:8" x14ac:dyDescent="0.35">
      <c r="B567" s="5"/>
      <c r="C567" s="5"/>
      <c r="D567" s="1"/>
      <c r="E567" s="5"/>
      <c r="G567" s="6"/>
      <c r="H567" s="1"/>
    </row>
    <row r="568" spans="2:8" x14ac:dyDescent="0.35">
      <c r="B568" s="5"/>
      <c r="C568" s="5"/>
      <c r="D568" s="1"/>
      <c r="E568" s="5"/>
      <c r="G568" s="6"/>
      <c r="H568" s="1"/>
    </row>
    <row r="569" spans="2:8" x14ac:dyDescent="0.35">
      <c r="B569" s="5"/>
      <c r="C569" s="5"/>
      <c r="D569" s="1"/>
      <c r="E569" s="5"/>
      <c r="G569" s="6"/>
      <c r="H569" s="1"/>
    </row>
    <row r="570" spans="2:8" x14ac:dyDescent="0.35">
      <c r="B570" s="5"/>
      <c r="C570" s="5"/>
      <c r="D570" s="1"/>
      <c r="E570" s="5"/>
      <c r="G570" s="6"/>
      <c r="H570" s="1"/>
    </row>
    <row r="571" spans="2:8" x14ac:dyDescent="0.35">
      <c r="B571" s="5"/>
      <c r="C571" s="5"/>
      <c r="D571" s="1"/>
      <c r="E571" s="5"/>
      <c r="G571" s="6"/>
      <c r="H571" s="1"/>
    </row>
    <row r="572" spans="2:8" x14ac:dyDescent="0.35">
      <c r="B572" s="5"/>
      <c r="C572" s="5"/>
      <c r="D572" s="1"/>
      <c r="E572" s="5"/>
      <c r="G572" s="6"/>
      <c r="H572" s="1"/>
    </row>
    <row r="573" spans="2:8" x14ac:dyDescent="0.35">
      <c r="B573" s="5"/>
      <c r="C573" s="5"/>
      <c r="D573" s="1"/>
      <c r="E573" s="5"/>
      <c r="G573" s="6"/>
      <c r="H573" s="1"/>
    </row>
    <row r="574" spans="2:8" x14ac:dyDescent="0.35">
      <c r="B574" s="5"/>
      <c r="C574" s="5"/>
      <c r="D574" s="1"/>
      <c r="E574" s="5"/>
      <c r="G574" s="6"/>
      <c r="H574" s="1"/>
    </row>
    <row r="575" spans="2:8" x14ac:dyDescent="0.35">
      <c r="B575" s="5"/>
      <c r="C575" s="5"/>
      <c r="D575" s="1"/>
      <c r="E575" s="5"/>
      <c r="G575" s="6"/>
      <c r="H575" s="1"/>
    </row>
    <row r="576" spans="2:8" x14ac:dyDescent="0.35">
      <c r="B576" s="5"/>
      <c r="C576" s="5"/>
      <c r="D576" s="1"/>
      <c r="E576" s="5"/>
      <c r="G576" s="6"/>
      <c r="H576" s="1"/>
    </row>
    <row r="577" spans="2:8" x14ac:dyDescent="0.35">
      <c r="B577" s="5"/>
      <c r="C577" s="5"/>
      <c r="D577" s="1"/>
      <c r="E577" s="5"/>
      <c r="G577" s="6"/>
      <c r="H577" s="1"/>
    </row>
    <row r="578" spans="2:8" x14ac:dyDescent="0.35">
      <c r="B578" s="5"/>
      <c r="C578" s="5"/>
      <c r="D578" s="1"/>
      <c r="E578" s="5"/>
      <c r="G578" s="6"/>
      <c r="H578" s="1"/>
    </row>
    <row r="579" spans="2:8" x14ac:dyDescent="0.35">
      <c r="B579" s="5"/>
      <c r="C579" s="5"/>
      <c r="D579" s="1"/>
      <c r="E579" s="5"/>
      <c r="G579" s="6"/>
      <c r="H579" s="1"/>
    </row>
    <row r="580" spans="2:8" x14ac:dyDescent="0.35">
      <c r="B580" s="5"/>
      <c r="C580" s="5"/>
      <c r="D580" s="1"/>
      <c r="E580" s="5"/>
      <c r="G580" s="6"/>
      <c r="H580" s="1"/>
    </row>
    <row r="581" spans="2:8" x14ac:dyDescent="0.35">
      <c r="B581" s="5"/>
      <c r="C581" s="5"/>
      <c r="D581" s="1"/>
      <c r="E581" s="5"/>
      <c r="G581" s="6"/>
      <c r="H581" s="1"/>
    </row>
    <row r="582" spans="2:8" x14ac:dyDescent="0.35">
      <c r="B582" s="5"/>
      <c r="C582" s="5"/>
      <c r="D582" s="1"/>
      <c r="E582" s="5"/>
      <c r="G582" s="6"/>
      <c r="H582" s="1"/>
    </row>
    <row r="583" spans="2:8" x14ac:dyDescent="0.35">
      <c r="B583" s="5"/>
      <c r="C583" s="5"/>
      <c r="D583" s="1"/>
      <c r="E583" s="5"/>
      <c r="G583" s="6"/>
      <c r="H583" s="1"/>
    </row>
    <row r="584" spans="2:8" x14ac:dyDescent="0.35">
      <c r="B584" s="5"/>
      <c r="C584" s="5"/>
      <c r="D584" s="1"/>
      <c r="E584" s="5"/>
      <c r="G584" s="6"/>
      <c r="H584" s="1"/>
    </row>
    <row r="585" spans="2:8" x14ac:dyDescent="0.35">
      <c r="B585" s="5"/>
      <c r="C585" s="5"/>
      <c r="D585" s="1"/>
      <c r="E585" s="5"/>
      <c r="G585" s="6"/>
      <c r="H585" s="1"/>
    </row>
    <row r="586" spans="2:8" x14ac:dyDescent="0.35">
      <c r="B586" s="5"/>
      <c r="C586" s="5"/>
      <c r="D586" s="1"/>
      <c r="E586" s="5"/>
      <c r="G586" s="6"/>
      <c r="H586" s="1"/>
    </row>
    <row r="587" spans="2:8" x14ac:dyDescent="0.35">
      <c r="B587" s="5"/>
      <c r="C587" s="5"/>
      <c r="D587" s="1"/>
      <c r="E587" s="5"/>
      <c r="G587" s="6"/>
      <c r="H587" s="1"/>
    </row>
    <row r="588" spans="2:8" x14ac:dyDescent="0.35">
      <c r="B588" s="5"/>
      <c r="C588" s="5"/>
      <c r="D588" s="1"/>
      <c r="E588" s="5"/>
      <c r="G588" s="6"/>
      <c r="H588" s="1"/>
    </row>
    <row r="589" spans="2:8" x14ac:dyDescent="0.35">
      <c r="B589" s="5"/>
      <c r="C589" s="5"/>
      <c r="D589" s="1"/>
      <c r="E589" s="5"/>
      <c r="G589" s="6"/>
      <c r="H589" s="1"/>
    </row>
    <row r="590" spans="2:8" x14ac:dyDescent="0.35">
      <c r="B590" s="5"/>
      <c r="C590" s="5"/>
      <c r="D590" s="1"/>
      <c r="E590" s="5"/>
      <c r="G590" s="6"/>
      <c r="H590" s="1"/>
    </row>
    <row r="591" spans="2:8" x14ac:dyDescent="0.35">
      <c r="B591" s="5"/>
      <c r="C591" s="5"/>
      <c r="D591" s="1"/>
      <c r="E591" s="5"/>
      <c r="G591" s="6"/>
      <c r="H591" s="1"/>
    </row>
    <row r="592" spans="2:8" x14ac:dyDescent="0.35">
      <c r="B592" s="5"/>
      <c r="C592" s="5"/>
      <c r="D592" s="1"/>
      <c r="E592" s="5"/>
      <c r="G592" s="6"/>
      <c r="H592" s="1"/>
    </row>
    <row r="593" spans="2:8" x14ac:dyDescent="0.35">
      <c r="B593" s="5"/>
      <c r="C593" s="5"/>
      <c r="D593" s="1"/>
      <c r="E593" s="5"/>
      <c r="G593" s="6"/>
      <c r="H593" s="1"/>
    </row>
    <row r="594" spans="2:8" x14ac:dyDescent="0.35">
      <c r="B594" s="5"/>
      <c r="C594" s="5"/>
      <c r="D594" s="1"/>
      <c r="E594" s="5"/>
      <c r="G594" s="6"/>
      <c r="H594" s="1"/>
    </row>
    <row r="595" spans="2:8" x14ac:dyDescent="0.35">
      <c r="B595" s="5"/>
      <c r="C595" s="5"/>
      <c r="D595" s="1"/>
      <c r="E595" s="5"/>
      <c r="G595" s="6"/>
      <c r="H595" s="1"/>
    </row>
  </sheetData>
  <autoFilter ref="A2:WVR93" xr:uid="{1428D849-4A40-4363-9953-3F7BB17A49E4}"/>
  <pageMargins left="0.51181102362204722" right="0.31496062992125984" top="0.35433070866141736" bottom="0.35433070866141736" header="0.31496062992125984" footer="0.31496062992125984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5FF2-626E-4BF5-83CB-3F0D15C7A020}">
  <sheetPr filterMode="1"/>
  <dimension ref="A1:N149"/>
  <sheetViews>
    <sheetView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B15" sqref="B15"/>
    </sheetView>
  </sheetViews>
  <sheetFormatPr defaultRowHeight="14.5" x14ac:dyDescent="0.35"/>
  <cols>
    <col min="1" max="1" width="5.6328125" style="1" customWidth="1"/>
    <col min="2" max="2" width="32.36328125" style="1" customWidth="1"/>
    <col min="3" max="3" width="8.7265625" style="1"/>
    <col min="4" max="4" width="9.90625" style="1" customWidth="1"/>
    <col min="5" max="5" width="8.7265625" style="1"/>
    <col min="6" max="6" width="11.54296875" style="5" bestFit="1" customWidth="1"/>
    <col min="7" max="7" width="10.453125" style="5" bestFit="1" customWidth="1"/>
    <col min="8" max="8" width="9.54296875" style="5" bestFit="1" customWidth="1"/>
    <col min="9" max="9" width="11" style="5" bestFit="1" customWidth="1"/>
    <col min="10" max="10" width="11" style="5" customWidth="1"/>
    <col min="11" max="12" width="8.7265625" style="5"/>
    <col min="13" max="13" width="30" style="5" customWidth="1"/>
    <col min="14" max="16384" width="8.7265625" style="1"/>
  </cols>
  <sheetData>
    <row r="1" spans="1:13" x14ac:dyDescent="0.35">
      <c r="A1" s="75" t="s">
        <v>2</v>
      </c>
      <c r="B1" s="77" t="s">
        <v>3</v>
      </c>
      <c r="C1" s="79" t="s">
        <v>341</v>
      </c>
      <c r="D1" s="79"/>
      <c r="E1" s="79"/>
      <c r="F1" s="80" t="s">
        <v>81</v>
      </c>
      <c r="G1" s="81"/>
      <c r="H1" s="87" t="s">
        <v>343</v>
      </c>
      <c r="I1" s="88"/>
      <c r="J1" s="85" t="s">
        <v>363</v>
      </c>
      <c r="K1" s="72" t="s">
        <v>344</v>
      </c>
      <c r="L1" s="73"/>
      <c r="M1" s="74"/>
    </row>
    <row r="2" spans="1:13" x14ac:dyDescent="0.35">
      <c r="A2" s="76"/>
      <c r="B2" s="78"/>
      <c r="C2" s="30" t="s">
        <v>0</v>
      </c>
      <c r="D2" s="31" t="s">
        <v>5</v>
      </c>
      <c r="E2" s="32" t="s">
        <v>315</v>
      </c>
      <c r="F2" s="33" t="s">
        <v>4</v>
      </c>
      <c r="G2" s="34" t="s">
        <v>342</v>
      </c>
      <c r="H2" s="45" t="s">
        <v>108</v>
      </c>
      <c r="I2" s="46" t="s">
        <v>109</v>
      </c>
      <c r="J2" s="89"/>
      <c r="K2" s="49" t="s">
        <v>306</v>
      </c>
      <c r="L2" s="48" t="s">
        <v>307</v>
      </c>
      <c r="M2" s="50" t="s">
        <v>105</v>
      </c>
    </row>
    <row r="3" spans="1:13" x14ac:dyDescent="0.35">
      <c r="A3" s="2">
        <v>3</v>
      </c>
      <c r="B3" s="3" t="s">
        <v>61</v>
      </c>
      <c r="C3" s="23" t="s">
        <v>6</v>
      </c>
      <c r="D3" s="24" t="s">
        <v>189</v>
      </c>
      <c r="E3" s="24" t="s">
        <v>316</v>
      </c>
      <c r="F3" s="35">
        <v>35846</v>
      </c>
      <c r="G3" s="36" t="str">
        <f t="shared" ref="G3:G19" ca="1" si="0">DATEDIF(F3,TODAY(),"Y")&amp; " THN "&amp;DATEDIF(F3,TODAY(),"YM")&amp;" BLN"</f>
        <v>28 THN 6 BLN</v>
      </c>
      <c r="H3" s="35">
        <v>27161</v>
      </c>
      <c r="I3" s="36" t="str">
        <f t="shared" ref="I3:I19" ca="1" si="1">DATEDIF(H3,TODAY(),"Y")&amp; " THN "&amp;DATEDIF(H3,TODAY(),"YM")&amp;" BLN"</f>
        <v>52 THN 3 BLN</v>
      </c>
      <c r="J3" s="59" t="s">
        <v>362</v>
      </c>
      <c r="K3" s="40" t="s">
        <v>1</v>
      </c>
      <c r="L3" s="23" t="s">
        <v>308</v>
      </c>
      <c r="M3" s="36" t="s">
        <v>6</v>
      </c>
    </row>
    <row r="4" spans="1:13" x14ac:dyDescent="0.35">
      <c r="A4" s="2">
        <v>4</v>
      </c>
      <c r="B4" s="3" t="s">
        <v>29</v>
      </c>
      <c r="C4" s="23" t="s">
        <v>25</v>
      </c>
      <c r="D4" s="24"/>
      <c r="E4" s="24" t="s">
        <v>316</v>
      </c>
      <c r="F4" s="35">
        <v>38458</v>
      </c>
      <c r="G4" s="36" t="str">
        <f t="shared" ca="1" si="0"/>
        <v>21 THN 4 BLN</v>
      </c>
      <c r="H4" s="35">
        <v>30050</v>
      </c>
      <c r="I4" s="36" t="str">
        <f t="shared" ca="1" si="1"/>
        <v>44 THN 4 BLN</v>
      </c>
      <c r="J4" s="59" t="s">
        <v>362</v>
      </c>
      <c r="K4" s="40" t="s">
        <v>1</v>
      </c>
      <c r="L4" s="23" t="s">
        <v>309</v>
      </c>
      <c r="M4" s="36" t="s">
        <v>312</v>
      </c>
    </row>
    <row r="5" spans="1:13" x14ac:dyDescent="0.35">
      <c r="A5" s="2">
        <v>5</v>
      </c>
      <c r="B5" s="3" t="s">
        <v>22</v>
      </c>
      <c r="C5" s="23" t="s">
        <v>82</v>
      </c>
      <c r="D5" s="24"/>
      <c r="E5" s="24" t="s">
        <v>316</v>
      </c>
      <c r="F5" s="35">
        <v>38568</v>
      </c>
      <c r="G5" s="36" t="str">
        <f t="shared" ca="1" si="0"/>
        <v>21 THN 0 BLN</v>
      </c>
      <c r="H5" s="35">
        <v>26169</v>
      </c>
      <c r="I5" s="36" t="str">
        <f t="shared" ca="1" si="1"/>
        <v>55 THN 0 BLN</v>
      </c>
      <c r="J5" s="59" t="s">
        <v>362</v>
      </c>
      <c r="K5" s="40" t="s">
        <v>1</v>
      </c>
      <c r="L5" s="23" t="s">
        <v>309</v>
      </c>
      <c r="M5" s="36" t="s">
        <v>109</v>
      </c>
    </row>
    <row r="6" spans="1:13" x14ac:dyDescent="0.35">
      <c r="A6" s="2">
        <v>7</v>
      </c>
      <c r="B6" s="3" t="s">
        <v>21</v>
      </c>
      <c r="C6" s="23" t="s">
        <v>6</v>
      </c>
      <c r="D6" s="24"/>
      <c r="E6" s="24" t="s">
        <v>316</v>
      </c>
      <c r="F6" s="35">
        <v>41276</v>
      </c>
      <c r="G6" s="36" t="str">
        <f t="shared" ca="1" si="0"/>
        <v>13 THN 7 BLN</v>
      </c>
      <c r="H6" s="35">
        <v>32084</v>
      </c>
      <c r="I6" s="36" t="str">
        <f t="shared" ca="1" si="1"/>
        <v>38 THN 9 BLN</v>
      </c>
      <c r="J6" s="59" t="s">
        <v>362</v>
      </c>
      <c r="K6" s="40" t="s">
        <v>1</v>
      </c>
      <c r="L6" s="23" t="s">
        <v>1</v>
      </c>
      <c r="M6" s="36" t="s">
        <v>310</v>
      </c>
    </row>
    <row r="7" spans="1:13" x14ac:dyDescent="0.35">
      <c r="A7" s="2">
        <v>10</v>
      </c>
      <c r="B7" s="3" t="s">
        <v>190</v>
      </c>
      <c r="C7" s="23" t="s">
        <v>77</v>
      </c>
      <c r="D7" s="24" t="s">
        <v>191</v>
      </c>
      <c r="E7" s="24" t="s">
        <v>316</v>
      </c>
      <c r="F7" s="35">
        <v>40463</v>
      </c>
      <c r="G7" s="36" t="str">
        <f t="shared" ca="1" si="0"/>
        <v>15 THN 10 BLN</v>
      </c>
      <c r="H7" s="35">
        <v>28361</v>
      </c>
      <c r="I7" s="36" t="str">
        <f t="shared" ca="1" si="1"/>
        <v>49 THN 0 BLN</v>
      </c>
      <c r="J7" s="59" t="s">
        <v>362</v>
      </c>
      <c r="K7" s="40" t="s">
        <v>1</v>
      </c>
      <c r="L7" s="23" t="s">
        <v>309</v>
      </c>
      <c r="M7" s="36" t="s">
        <v>311</v>
      </c>
    </row>
    <row r="8" spans="1:13" x14ac:dyDescent="0.35">
      <c r="A8" s="2">
        <v>11</v>
      </c>
      <c r="B8" s="3" t="s">
        <v>32</v>
      </c>
      <c r="C8" s="23" t="s">
        <v>25</v>
      </c>
      <c r="D8" s="24"/>
      <c r="E8" s="24" t="s">
        <v>316</v>
      </c>
      <c r="F8" s="35">
        <v>41918</v>
      </c>
      <c r="G8" s="36" t="str">
        <f t="shared" ca="1" si="0"/>
        <v>11 THN 10 BLN</v>
      </c>
      <c r="H8" s="35">
        <v>31373</v>
      </c>
      <c r="I8" s="36" t="str">
        <f t="shared" ca="1" si="1"/>
        <v>40 THN 9 BLN</v>
      </c>
      <c r="J8" s="59" t="s">
        <v>362</v>
      </c>
      <c r="K8" s="40" t="s">
        <v>1</v>
      </c>
      <c r="L8" s="23" t="s">
        <v>309</v>
      </c>
      <c r="M8" s="36" t="s">
        <v>312</v>
      </c>
    </row>
    <row r="9" spans="1:13" x14ac:dyDescent="0.35">
      <c r="A9" s="2">
        <v>12</v>
      </c>
      <c r="B9" s="3" t="s">
        <v>19</v>
      </c>
      <c r="C9" s="23" t="s">
        <v>192</v>
      </c>
      <c r="D9" s="24" t="s">
        <v>77</v>
      </c>
      <c r="E9" s="24" t="s">
        <v>316</v>
      </c>
      <c r="F9" s="35">
        <v>41288</v>
      </c>
      <c r="G9" s="36" t="str">
        <f t="shared" ca="1" si="0"/>
        <v>13 THN 7 BLN</v>
      </c>
      <c r="H9" s="35">
        <v>30153</v>
      </c>
      <c r="I9" s="36" t="str">
        <f t="shared" ca="1" si="1"/>
        <v>44 THN 1 BLN</v>
      </c>
      <c r="J9" s="59" t="s">
        <v>362</v>
      </c>
      <c r="K9" s="40" t="s">
        <v>1</v>
      </c>
      <c r="L9" s="23" t="s">
        <v>309</v>
      </c>
      <c r="M9" s="36" t="s">
        <v>311</v>
      </c>
    </row>
    <row r="10" spans="1:13" x14ac:dyDescent="0.35">
      <c r="A10" s="2">
        <v>17</v>
      </c>
      <c r="B10" s="3" t="s">
        <v>47</v>
      </c>
      <c r="C10" s="23" t="s">
        <v>34</v>
      </c>
      <c r="D10" s="24" t="s">
        <v>193</v>
      </c>
      <c r="E10" s="24" t="s">
        <v>316</v>
      </c>
      <c r="F10" s="35">
        <v>41539</v>
      </c>
      <c r="G10" s="36" t="str">
        <f t="shared" ca="1" si="0"/>
        <v>12 THN 11 BLN</v>
      </c>
      <c r="H10" s="35">
        <v>33806</v>
      </c>
      <c r="I10" s="36" t="str">
        <f t="shared" ca="1" si="1"/>
        <v>34 THN 1 BLN</v>
      </c>
      <c r="J10" s="59" t="s">
        <v>362</v>
      </c>
      <c r="K10" s="40" t="s">
        <v>1</v>
      </c>
      <c r="L10" s="23" t="s">
        <v>309</v>
      </c>
      <c r="M10" s="36" t="s">
        <v>312</v>
      </c>
    </row>
    <row r="11" spans="1:13" x14ac:dyDescent="0.35">
      <c r="A11" s="2">
        <v>18</v>
      </c>
      <c r="B11" s="3" t="s">
        <v>31</v>
      </c>
      <c r="C11" s="23" t="s">
        <v>25</v>
      </c>
      <c r="D11" s="24"/>
      <c r="E11" s="24" t="s">
        <v>316</v>
      </c>
      <c r="F11" s="35">
        <v>38605</v>
      </c>
      <c r="G11" s="36" t="str">
        <f t="shared" ca="1" si="0"/>
        <v>20 THN 11 BLN</v>
      </c>
      <c r="H11" s="35">
        <v>30630</v>
      </c>
      <c r="I11" s="36" t="str">
        <f t="shared" ca="1" si="1"/>
        <v>42 THN 9 BLN</v>
      </c>
      <c r="J11" s="59" t="s">
        <v>362</v>
      </c>
      <c r="K11" s="40" t="s">
        <v>1</v>
      </c>
      <c r="L11" s="23" t="s">
        <v>309</v>
      </c>
      <c r="M11" s="36" t="s">
        <v>312</v>
      </c>
    </row>
    <row r="12" spans="1:13" x14ac:dyDescent="0.35">
      <c r="A12" s="2">
        <v>23</v>
      </c>
      <c r="B12" s="3" t="s">
        <v>40</v>
      </c>
      <c r="C12" s="23" t="s">
        <v>77</v>
      </c>
      <c r="D12" s="24" t="s">
        <v>191</v>
      </c>
      <c r="E12" s="24" t="s">
        <v>316</v>
      </c>
      <c r="F12" s="35">
        <v>36661</v>
      </c>
      <c r="G12" s="36" t="str">
        <f t="shared" ca="1" si="0"/>
        <v>26 THN 3 BLN</v>
      </c>
      <c r="H12" s="35">
        <v>27121</v>
      </c>
      <c r="I12" s="36" t="str">
        <f t="shared" ca="1" si="1"/>
        <v>52 THN 4 BLN</v>
      </c>
      <c r="J12" s="59" t="s">
        <v>362</v>
      </c>
      <c r="K12" s="40" t="s">
        <v>1</v>
      </c>
      <c r="L12" s="23" t="s">
        <v>309</v>
      </c>
      <c r="M12" s="36" t="s">
        <v>109</v>
      </c>
    </row>
    <row r="13" spans="1:13" x14ac:dyDescent="0.35">
      <c r="A13" s="2">
        <v>25</v>
      </c>
      <c r="B13" s="3" t="s">
        <v>35</v>
      </c>
      <c r="C13" s="23" t="s">
        <v>6</v>
      </c>
      <c r="D13" s="24"/>
      <c r="E13" s="24" t="s">
        <v>316</v>
      </c>
      <c r="F13" s="35">
        <v>38544</v>
      </c>
      <c r="G13" s="36" t="str">
        <f t="shared" ca="1" si="0"/>
        <v>21 THN 1 BLN</v>
      </c>
      <c r="H13" s="35">
        <v>32686</v>
      </c>
      <c r="I13" s="36" t="str">
        <f t="shared" ca="1" si="1"/>
        <v>37 THN 2 BLN</v>
      </c>
      <c r="J13" s="59" t="s">
        <v>362</v>
      </c>
      <c r="K13" s="40" t="s">
        <v>1</v>
      </c>
      <c r="L13" s="23" t="s">
        <v>308</v>
      </c>
      <c r="M13" s="36" t="s">
        <v>6</v>
      </c>
    </row>
    <row r="14" spans="1:13" x14ac:dyDescent="0.35">
      <c r="A14" s="2">
        <v>27</v>
      </c>
      <c r="B14" s="3" t="s">
        <v>41</v>
      </c>
      <c r="C14" s="23" t="s">
        <v>34</v>
      </c>
      <c r="D14" s="24" t="s">
        <v>194</v>
      </c>
      <c r="E14" s="24" t="s">
        <v>316</v>
      </c>
      <c r="F14" s="35">
        <v>39756</v>
      </c>
      <c r="G14" s="36" t="str">
        <f t="shared" ca="1" si="0"/>
        <v>17 THN 9 BLN</v>
      </c>
      <c r="H14" s="35">
        <v>27968</v>
      </c>
      <c r="I14" s="36" t="str">
        <f t="shared" ca="1" si="1"/>
        <v>50 THN 1 BLN</v>
      </c>
      <c r="J14" s="59" t="s">
        <v>362</v>
      </c>
      <c r="K14" s="40" t="s">
        <v>1</v>
      </c>
      <c r="L14" s="23" t="s">
        <v>313</v>
      </c>
      <c r="M14" s="36" t="s">
        <v>314</v>
      </c>
    </row>
    <row r="15" spans="1:13" x14ac:dyDescent="0.35">
      <c r="A15" s="2">
        <v>28</v>
      </c>
      <c r="B15" s="3" t="s">
        <v>86</v>
      </c>
      <c r="C15" s="23" t="s">
        <v>34</v>
      </c>
      <c r="D15" s="24" t="s">
        <v>194</v>
      </c>
      <c r="E15" s="24" t="s">
        <v>316</v>
      </c>
      <c r="F15" s="35">
        <v>40551</v>
      </c>
      <c r="G15" s="36" t="str">
        <f t="shared" ca="1" si="0"/>
        <v>15 THN 7 BLN</v>
      </c>
      <c r="H15" s="35">
        <v>33086</v>
      </c>
      <c r="I15" s="36" t="str">
        <f t="shared" ca="1" si="1"/>
        <v>36 THN 0 BLN</v>
      </c>
      <c r="J15" s="59" t="s">
        <v>362</v>
      </c>
      <c r="K15" s="40" t="s">
        <v>1</v>
      </c>
      <c r="L15" s="23" t="s">
        <v>313</v>
      </c>
      <c r="M15" s="36"/>
    </row>
    <row r="16" spans="1:13" x14ac:dyDescent="0.35">
      <c r="A16" s="2">
        <v>33</v>
      </c>
      <c r="B16" s="3" t="s">
        <v>71</v>
      </c>
      <c r="C16" s="23" t="s">
        <v>69</v>
      </c>
      <c r="D16" s="24"/>
      <c r="E16" s="24" t="s">
        <v>316</v>
      </c>
      <c r="F16" s="35">
        <v>41862</v>
      </c>
      <c r="G16" s="36" t="str">
        <f t="shared" ca="1" si="0"/>
        <v>12 THN 0 BLN</v>
      </c>
      <c r="H16" s="35">
        <v>25423</v>
      </c>
      <c r="I16" s="36" t="str">
        <f t="shared" ca="1" si="1"/>
        <v>57 THN 0 BLN</v>
      </c>
      <c r="J16" s="59" t="s">
        <v>362</v>
      </c>
      <c r="K16" s="40" t="s">
        <v>1</v>
      </c>
      <c r="L16" s="23" t="s">
        <v>309</v>
      </c>
      <c r="M16" s="36" t="s">
        <v>109</v>
      </c>
    </row>
    <row r="17" spans="1:13" x14ac:dyDescent="0.35">
      <c r="A17" s="2">
        <v>39</v>
      </c>
      <c r="B17" s="3" t="s">
        <v>42</v>
      </c>
      <c r="C17" s="23" t="s">
        <v>192</v>
      </c>
      <c r="D17" s="24"/>
      <c r="E17" s="24" t="s">
        <v>316</v>
      </c>
      <c r="F17" s="35">
        <v>42215</v>
      </c>
      <c r="G17" s="36" t="str">
        <f t="shared" ca="1" si="0"/>
        <v>11 THN 0 BLN</v>
      </c>
      <c r="H17" s="35">
        <v>26055</v>
      </c>
      <c r="I17" s="36" t="str">
        <f t="shared" ca="1" si="1"/>
        <v>55 THN 3 BLN</v>
      </c>
      <c r="J17" s="59" t="s">
        <v>362</v>
      </c>
      <c r="K17" s="40" t="s">
        <v>1</v>
      </c>
      <c r="L17" s="23" t="s">
        <v>309</v>
      </c>
      <c r="M17" s="36" t="s">
        <v>109</v>
      </c>
    </row>
    <row r="18" spans="1:13" x14ac:dyDescent="0.35">
      <c r="A18" s="2">
        <v>40</v>
      </c>
      <c r="B18" s="3" t="s">
        <v>195</v>
      </c>
      <c r="C18" s="23" t="s">
        <v>88</v>
      </c>
      <c r="D18" s="24"/>
      <c r="E18" s="24" t="s">
        <v>316</v>
      </c>
      <c r="F18" s="35">
        <v>41524</v>
      </c>
      <c r="G18" s="36" t="str">
        <f t="shared" ca="1" si="0"/>
        <v>12 THN 11 BLN</v>
      </c>
      <c r="H18" s="35">
        <v>35382</v>
      </c>
      <c r="I18" s="36" t="str">
        <f t="shared" ca="1" si="1"/>
        <v>29 THN 9 BLN</v>
      </c>
      <c r="J18" s="59" t="s">
        <v>362</v>
      </c>
      <c r="K18" s="40" t="s">
        <v>1</v>
      </c>
      <c r="L18" s="23" t="s">
        <v>313</v>
      </c>
      <c r="M18" s="36"/>
    </row>
    <row r="19" spans="1:13" x14ac:dyDescent="0.35">
      <c r="A19" s="2">
        <v>45</v>
      </c>
      <c r="B19" s="3" t="s">
        <v>37</v>
      </c>
      <c r="C19" s="23" t="s">
        <v>34</v>
      </c>
      <c r="D19" s="24"/>
      <c r="E19" s="24" t="s">
        <v>316</v>
      </c>
      <c r="F19" s="35">
        <v>41866</v>
      </c>
      <c r="G19" s="36" t="str">
        <f t="shared" ca="1" si="0"/>
        <v>12 THN 0 BLN</v>
      </c>
      <c r="H19" s="35">
        <v>33396</v>
      </c>
      <c r="I19" s="36" t="str">
        <f t="shared" ca="1" si="1"/>
        <v>35 THN 2 BLN</v>
      </c>
      <c r="J19" s="59" t="s">
        <v>362</v>
      </c>
      <c r="K19" s="40" t="s">
        <v>1</v>
      </c>
      <c r="L19" s="23" t="s">
        <v>309</v>
      </c>
      <c r="M19" s="36" t="s">
        <v>312</v>
      </c>
    </row>
    <row r="20" spans="1:13" x14ac:dyDescent="0.35">
      <c r="A20" s="2">
        <v>65</v>
      </c>
      <c r="B20" s="3" t="s">
        <v>7</v>
      </c>
      <c r="C20" s="23" t="s">
        <v>6</v>
      </c>
      <c r="D20" s="24"/>
      <c r="E20" s="24" t="s">
        <v>316</v>
      </c>
      <c r="F20" s="35">
        <v>42044</v>
      </c>
      <c r="G20" s="36" t="str">
        <f ca="1">DATEDIF(F20,TODAY(),"Y")&amp; " THN "&amp;DATEDIF(F20,TODAY(),"YM")&amp;" BLN"</f>
        <v>11 THN 6 BLN</v>
      </c>
      <c r="H20" s="35">
        <v>35212</v>
      </c>
      <c r="I20" s="36" t="str">
        <f ca="1">DATEDIF(H20,TODAY(),"Y")&amp; " THN "&amp;DATEDIF(H20,TODAY(),"YM")&amp;" BLN"</f>
        <v>30 THN 3 BLN</v>
      </c>
      <c r="J20" s="59" t="s">
        <v>362</v>
      </c>
      <c r="K20" s="40" t="s">
        <v>1</v>
      </c>
      <c r="L20" s="23" t="s">
        <v>308</v>
      </c>
      <c r="M20" s="36" t="s">
        <v>6</v>
      </c>
    </row>
    <row r="21" spans="1:13" x14ac:dyDescent="0.35">
      <c r="A21" s="2">
        <v>77</v>
      </c>
      <c r="B21" s="3" t="s">
        <v>43</v>
      </c>
      <c r="C21" s="23" t="s">
        <v>34</v>
      </c>
      <c r="D21" s="24" t="s">
        <v>194</v>
      </c>
      <c r="E21" s="24" t="s">
        <v>316</v>
      </c>
      <c r="F21" s="35">
        <v>42152</v>
      </c>
      <c r="G21" s="36" t="str">
        <f t="shared" ref="G21:G23" ca="1" si="2">DATEDIF(F21,TODAY(),"Y")&amp; " THN "&amp;DATEDIF(F21,TODAY(),"YM")&amp;" BLN"</f>
        <v>11 THN 3 BLN</v>
      </c>
      <c r="H21" s="35">
        <v>25204</v>
      </c>
      <c r="I21" s="36" t="str">
        <f t="shared" ref="I21:I23" ca="1" si="3">DATEDIF(H21,TODAY(),"Y")&amp; " THN "&amp;DATEDIF(H21,TODAY(),"YM")&amp;" BLN"</f>
        <v>57 THN 7 BLN</v>
      </c>
      <c r="J21" s="59" t="s">
        <v>362</v>
      </c>
      <c r="K21" s="40" t="s">
        <v>1</v>
      </c>
      <c r="L21" s="23" t="s">
        <v>309</v>
      </c>
      <c r="M21" s="36" t="s">
        <v>109</v>
      </c>
    </row>
    <row r="22" spans="1:13" x14ac:dyDescent="0.35">
      <c r="A22" s="2">
        <v>82</v>
      </c>
      <c r="B22" s="3" t="s">
        <v>38</v>
      </c>
      <c r="C22" s="23" t="s">
        <v>88</v>
      </c>
      <c r="D22" s="24"/>
      <c r="E22" s="24" t="s">
        <v>316</v>
      </c>
      <c r="F22" s="35">
        <v>42212</v>
      </c>
      <c r="G22" s="36" t="str">
        <f t="shared" ca="1" si="2"/>
        <v>11 THN 1 BLN</v>
      </c>
      <c r="H22" s="35">
        <v>34624</v>
      </c>
      <c r="I22" s="36" t="str">
        <f t="shared" ca="1" si="3"/>
        <v>31 THN 10 BLN</v>
      </c>
      <c r="J22" s="59" t="s">
        <v>362</v>
      </c>
      <c r="K22" s="40" t="s">
        <v>1</v>
      </c>
      <c r="L22" s="23" t="s">
        <v>313</v>
      </c>
      <c r="M22" s="36"/>
    </row>
    <row r="23" spans="1:13" x14ac:dyDescent="0.35">
      <c r="A23" s="2">
        <v>101</v>
      </c>
      <c r="B23" s="3" t="s">
        <v>56</v>
      </c>
      <c r="C23" s="23" t="s">
        <v>88</v>
      </c>
      <c r="D23" s="24"/>
      <c r="E23" s="24" t="s">
        <v>316</v>
      </c>
      <c r="F23" s="35">
        <v>42522</v>
      </c>
      <c r="G23" s="36" t="str">
        <f t="shared" ca="1" si="2"/>
        <v>10 THN 2 BLN</v>
      </c>
      <c r="H23" s="35">
        <v>29395</v>
      </c>
      <c r="I23" s="36" t="str">
        <f t="shared" ca="1" si="3"/>
        <v>46 THN 2 BLN</v>
      </c>
      <c r="J23" s="59" t="s">
        <v>362</v>
      </c>
      <c r="K23" s="40" t="s">
        <v>1</v>
      </c>
      <c r="L23" s="23" t="s">
        <v>313</v>
      </c>
      <c r="M23" s="36"/>
    </row>
    <row r="24" spans="1:13" x14ac:dyDescent="0.35">
      <c r="A24" s="2">
        <v>105</v>
      </c>
      <c r="B24" s="3" t="s">
        <v>11</v>
      </c>
      <c r="C24" s="23" t="s">
        <v>6</v>
      </c>
      <c r="D24" s="24" t="s">
        <v>192</v>
      </c>
      <c r="E24" s="24" t="s">
        <v>316</v>
      </c>
      <c r="F24" s="35">
        <v>42339</v>
      </c>
      <c r="G24" s="36" t="str">
        <f ca="1">DATEDIF(F24,TODAY(),"Y")&amp; " THN "&amp;DATEDIF(F24,TODAY(),"YM")&amp;" BLN"</f>
        <v>10 THN 8 BLN</v>
      </c>
      <c r="H24" s="35">
        <v>31567</v>
      </c>
      <c r="I24" s="36" t="str">
        <f ca="1">DATEDIF(H24,TODAY(),"Y")&amp; " THN "&amp;DATEDIF(H24,TODAY(),"YM")&amp;" BLN"</f>
        <v>40 THN 2 BLN</v>
      </c>
      <c r="J24" s="59" t="s">
        <v>362</v>
      </c>
      <c r="K24" s="40" t="s">
        <v>1</v>
      </c>
      <c r="L24" s="23" t="s">
        <v>308</v>
      </c>
      <c r="M24" s="36" t="s">
        <v>6</v>
      </c>
    </row>
    <row r="25" spans="1:13" x14ac:dyDescent="0.35">
      <c r="A25" s="2">
        <v>123</v>
      </c>
      <c r="B25" s="3" t="s">
        <v>17</v>
      </c>
      <c r="C25" s="23" t="s">
        <v>6</v>
      </c>
      <c r="D25" s="24"/>
      <c r="E25" s="24" t="s">
        <v>316</v>
      </c>
      <c r="F25" s="35">
        <v>42436</v>
      </c>
      <c r="G25" s="36" t="str">
        <f t="shared" ref="G25:G45" ca="1" si="4">DATEDIF(F25,TODAY(),"Y")&amp; " THN "&amp;DATEDIF(F25,TODAY(),"YM")&amp;" BLN"</f>
        <v>10 THN 5 BLN</v>
      </c>
      <c r="H25" s="35">
        <v>34314</v>
      </c>
      <c r="I25" s="36" t="str">
        <f t="shared" ref="I25:I45" ca="1" si="5">DATEDIF(H25,TODAY(),"Y")&amp; " THN "&amp;DATEDIF(H25,TODAY(),"YM")&amp;" BLN"</f>
        <v>32 THN 8 BLN</v>
      </c>
      <c r="J25" s="59" t="s">
        <v>317</v>
      </c>
      <c r="K25" s="40" t="s">
        <v>1</v>
      </c>
      <c r="L25" s="23" t="s">
        <v>308</v>
      </c>
      <c r="M25" s="36" t="s">
        <v>6</v>
      </c>
    </row>
    <row r="26" spans="1:13" x14ac:dyDescent="0.35">
      <c r="A26" s="2">
        <v>124</v>
      </c>
      <c r="B26" s="3" t="s">
        <v>196</v>
      </c>
      <c r="C26" s="23" t="s">
        <v>6</v>
      </c>
      <c r="D26" s="24" t="s">
        <v>36</v>
      </c>
      <c r="E26" s="24" t="s">
        <v>316</v>
      </c>
      <c r="F26" s="35">
        <v>42462</v>
      </c>
      <c r="G26" s="36" t="str">
        <f t="shared" ca="1" si="4"/>
        <v>10 THN 4 BLN</v>
      </c>
      <c r="H26" s="35">
        <v>34799</v>
      </c>
      <c r="I26" s="36" t="str">
        <f t="shared" ca="1" si="5"/>
        <v>31 THN 4 BLN</v>
      </c>
      <c r="J26" s="59" t="s">
        <v>317</v>
      </c>
      <c r="K26" s="40" t="s">
        <v>1</v>
      </c>
      <c r="L26" s="23" t="s">
        <v>308</v>
      </c>
      <c r="M26" s="36" t="s">
        <v>6</v>
      </c>
    </row>
    <row r="27" spans="1:13" x14ac:dyDescent="0.35">
      <c r="A27" s="2">
        <v>125</v>
      </c>
      <c r="B27" s="3" t="s">
        <v>26</v>
      </c>
      <c r="C27" s="23" t="s">
        <v>6</v>
      </c>
      <c r="D27" s="24"/>
      <c r="E27" s="24" t="s">
        <v>316</v>
      </c>
      <c r="F27" s="35">
        <v>42462</v>
      </c>
      <c r="G27" s="36" t="str">
        <f t="shared" ca="1" si="4"/>
        <v>10 THN 4 BLN</v>
      </c>
      <c r="H27" s="35">
        <v>29989</v>
      </c>
      <c r="I27" s="36" t="str">
        <f t="shared" ca="1" si="5"/>
        <v>44 THN 6 BLN</v>
      </c>
      <c r="J27" s="59" t="s">
        <v>317</v>
      </c>
      <c r="K27" s="40" t="s">
        <v>1</v>
      </c>
      <c r="L27" s="23" t="s">
        <v>308</v>
      </c>
      <c r="M27" s="36" t="s">
        <v>6</v>
      </c>
    </row>
    <row r="28" spans="1:13" x14ac:dyDescent="0.35">
      <c r="A28" s="2">
        <v>132</v>
      </c>
      <c r="B28" s="3" t="s">
        <v>79</v>
      </c>
      <c r="C28" s="23" t="s">
        <v>77</v>
      </c>
      <c r="D28" s="24"/>
      <c r="E28" s="24" t="s">
        <v>316</v>
      </c>
      <c r="F28" s="35">
        <v>42514</v>
      </c>
      <c r="G28" s="36" t="str">
        <f t="shared" ca="1" si="4"/>
        <v>10 THN 3 BLN</v>
      </c>
      <c r="H28" s="35">
        <v>25334</v>
      </c>
      <c r="I28" s="36" t="str">
        <f t="shared" ca="1" si="5"/>
        <v>57 THN 3 BLN</v>
      </c>
      <c r="J28" s="59" t="s">
        <v>317</v>
      </c>
      <c r="K28" s="40" t="s">
        <v>1</v>
      </c>
      <c r="L28" s="23" t="s">
        <v>309</v>
      </c>
      <c r="M28" s="36" t="s">
        <v>109</v>
      </c>
    </row>
    <row r="29" spans="1:13" x14ac:dyDescent="0.35">
      <c r="A29" s="2">
        <v>146</v>
      </c>
      <c r="B29" s="3" t="s">
        <v>10</v>
      </c>
      <c r="C29" s="23" t="s">
        <v>6</v>
      </c>
      <c r="D29" s="24"/>
      <c r="E29" s="24" t="s">
        <v>316</v>
      </c>
      <c r="F29" s="35">
        <v>42675</v>
      </c>
      <c r="G29" s="36" t="str">
        <f t="shared" ca="1" si="4"/>
        <v>9 THN 9 BLN</v>
      </c>
      <c r="H29" s="35">
        <v>35818</v>
      </c>
      <c r="I29" s="36" t="str">
        <f t="shared" ca="1" si="5"/>
        <v>28 THN 7 BLN</v>
      </c>
      <c r="J29" s="59" t="s">
        <v>317</v>
      </c>
      <c r="K29" s="40" t="s">
        <v>1</v>
      </c>
      <c r="L29" s="23" t="s">
        <v>308</v>
      </c>
      <c r="M29" s="36" t="s">
        <v>6</v>
      </c>
    </row>
    <row r="30" spans="1:13" x14ac:dyDescent="0.35">
      <c r="A30" s="2">
        <v>154</v>
      </c>
      <c r="B30" s="3" t="s">
        <v>44</v>
      </c>
      <c r="C30" s="23" t="s">
        <v>34</v>
      </c>
      <c r="D30" s="24" t="s">
        <v>197</v>
      </c>
      <c r="E30" s="24" t="s">
        <v>316</v>
      </c>
      <c r="F30" s="35">
        <v>42752</v>
      </c>
      <c r="G30" s="36" t="str">
        <f t="shared" ca="1" si="4"/>
        <v>9 THN 7 BLN</v>
      </c>
      <c r="H30" s="35">
        <v>31111</v>
      </c>
      <c r="I30" s="36" t="str">
        <f t="shared" ca="1" si="5"/>
        <v>41 THN 5 BLN</v>
      </c>
      <c r="J30" s="59" t="s">
        <v>317</v>
      </c>
      <c r="K30" s="40" t="s">
        <v>1</v>
      </c>
      <c r="L30" s="23" t="s">
        <v>313</v>
      </c>
      <c r="M30" s="36"/>
    </row>
    <row r="31" spans="1:13" x14ac:dyDescent="0.35">
      <c r="A31" s="2">
        <v>157</v>
      </c>
      <c r="B31" s="3" t="s">
        <v>45</v>
      </c>
      <c r="C31" s="23" t="s">
        <v>34</v>
      </c>
      <c r="D31" s="24" t="s">
        <v>198</v>
      </c>
      <c r="E31" s="24" t="s">
        <v>316</v>
      </c>
      <c r="F31" s="35">
        <v>42753</v>
      </c>
      <c r="G31" s="36" t="str">
        <f t="shared" ca="1" si="4"/>
        <v>9 THN 7 BLN</v>
      </c>
      <c r="H31" s="35">
        <v>31672</v>
      </c>
      <c r="I31" s="36" t="str">
        <f t="shared" ca="1" si="5"/>
        <v>39 THN 11 BLN</v>
      </c>
      <c r="J31" s="59" t="s">
        <v>317</v>
      </c>
      <c r="K31" s="40" t="s">
        <v>1</v>
      </c>
      <c r="L31" s="23" t="s">
        <v>313</v>
      </c>
      <c r="M31" s="36"/>
    </row>
    <row r="32" spans="1:13" x14ac:dyDescent="0.35">
      <c r="A32" s="2">
        <v>171</v>
      </c>
      <c r="B32" s="3" t="s">
        <v>39</v>
      </c>
      <c r="C32" s="23" t="s">
        <v>34</v>
      </c>
      <c r="D32" s="24" t="s">
        <v>198</v>
      </c>
      <c r="E32" s="24" t="s">
        <v>316</v>
      </c>
      <c r="F32" s="35">
        <v>42789</v>
      </c>
      <c r="G32" s="36" t="str">
        <f t="shared" ca="1" si="4"/>
        <v>9 THN 6 BLN</v>
      </c>
      <c r="H32" s="35">
        <v>32863</v>
      </c>
      <c r="I32" s="36" t="str">
        <f t="shared" ca="1" si="5"/>
        <v>36 THN 8 BLN</v>
      </c>
      <c r="J32" s="59" t="s">
        <v>317</v>
      </c>
      <c r="K32" s="40" t="s">
        <v>1</v>
      </c>
      <c r="L32" s="23" t="s">
        <v>313</v>
      </c>
      <c r="M32" s="36"/>
    </row>
    <row r="33" spans="1:13" hidden="1" x14ac:dyDescent="0.35">
      <c r="A33" s="2">
        <v>182</v>
      </c>
      <c r="B33" s="3" t="s">
        <v>14</v>
      </c>
      <c r="C33" s="23" t="s">
        <v>6</v>
      </c>
      <c r="D33" s="24"/>
      <c r="E33" s="24" t="s">
        <v>291</v>
      </c>
      <c r="F33" s="35">
        <v>42807</v>
      </c>
      <c r="G33" s="36" t="str">
        <f t="shared" ca="1" si="4"/>
        <v>9 THN 5 BLN</v>
      </c>
      <c r="H33" s="35">
        <v>32276</v>
      </c>
      <c r="I33" s="36" t="str">
        <f t="shared" ca="1" si="5"/>
        <v>38 THN 3 BLN</v>
      </c>
      <c r="J33" s="60">
        <v>45961</v>
      </c>
      <c r="K33" s="40" t="s">
        <v>1</v>
      </c>
      <c r="L33" s="23" t="s">
        <v>308</v>
      </c>
      <c r="M33" s="36" t="s">
        <v>6</v>
      </c>
    </row>
    <row r="34" spans="1:13" x14ac:dyDescent="0.35">
      <c r="A34" s="2">
        <v>202</v>
      </c>
      <c r="B34" s="3" t="s">
        <v>50</v>
      </c>
      <c r="C34" s="23" t="s">
        <v>34</v>
      </c>
      <c r="D34" s="24" t="s">
        <v>193</v>
      </c>
      <c r="E34" s="24" t="s">
        <v>316</v>
      </c>
      <c r="F34" s="35">
        <v>42903</v>
      </c>
      <c r="G34" s="36" t="str">
        <f t="shared" ca="1" si="4"/>
        <v>9 THN 2 BLN</v>
      </c>
      <c r="H34" s="35">
        <v>34213</v>
      </c>
      <c r="I34" s="36" t="str">
        <f t="shared" ca="1" si="5"/>
        <v>32 THN 11 BLN</v>
      </c>
      <c r="J34" s="59" t="s">
        <v>317</v>
      </c>
      <c r="K34" s="40" t="s">
        <v>1</v>
      </c>
      <c r="L34" s="23" t="s">
        <v>309</v>
      </c>
      <c r="M34" s="36" t="s">
        <v>312</v>
      </c>
    </row>
    <row r="35" spans="1:13" x14ac:dyDescent="0.35">
      <c r="A35" s="2">
        <v>205</v>
      </c>
      <c r="B35" s="3" t="s">
        <v>64</v>
      </c>
      <c r="C35" s="23" t="s">
        <v>6</v>
      </c>
      <c r="D35" s="24" t="s">
        <v>189</v>
      </c>
      <c r="E35" s="24" t="s">
        <v>316</v>
      </c>
      <c r="F35" s="35">
        <v>42954</v>
      </c>
      <c r="G35" s="36" t="str">
        <f t="shared" ca="1" si="4"/>
        <v>9 THN 0 BLN</v>
      </c>
      <c r="H35" s="35">
        <v>32608</v>
      </c>
      <c r="I35" s="36" t="str">
        <f t="shared" ca="1" si="5"/>
        <v>37 THN 4 BLN</v>
      </c>
      <c r="J35" s="59" t="s">
        <v>317</v>
      </c>
      <c r="K35" s="40" t="s">
        <v>1</v>
      </c>
      <c r="L35" s="23" t="s">
        <v>309</v>
      </c>
      <c r="M35" s="36" t="s">
        <v>312</v>
      </c>
    </row>
    <row r="36" spans="1:13" x14ac:dyDescent="0.35">
      <c r="A36" s="2">
        <v>234</v>
      </c>
      <c r="B36" s="3" t="s">
        <v>66</v>
      </c>
      <c r="C36" s="23" t="s">
        <v>90</v>
      </c>
      <c r="D36" s="24"/>
      <c r="E36" s="24" t="s">
        <v>316</v>
      </c>
      <c r="F36" s="35">
        <v>43290</v>
      </c>
      <c r="G36" s="36" t="str">
        <f t="shared" ca="1" si="4"/>
        <v>8 THN 1 BLN</v>
      </c>
      <c r="H36" s="35">
        <v>34321</v>
      </c>
      <c r="I36" s="36" t="str">
        <f t="shared" ca="1" si="5"/>
        <v>32 THN 8 BLN</v>
      </c>
      <c r="J36" s="59" t="s">
        <v>317</v>
      </c>
      <c r="K36" s="40" t="s">
        <v>1</v>
      </c>
      <c r="L36" s="23" t="s">
        <v>309</v>
      </c>
      <c r="M36" s="36" t="s">
        <v>312</v>
      </c>
    </row>
    <row r="37" spans="1:13" x14ac:dyDescent="0.35">
      <c r="A37" s="2">
        <v>239</v>
      </c>
      <c r="B37" s="3" t="s">
        <v>46</v>
      </c>
      <c r="C37" s="23" t="s">
        <v>34</v>
      </c>
      <c r="D37" s="24" t="s">
        <v>198</v>
      </c>
      <c r="E37" s="24" t="s">
        <v>316</v>
      </c>
      <c r="F37" s="37">
        <v>43293</v>
      </c>
      <c r="G37" s="36" t="str">
        <f t="shared" ca="1" si="4"/>
        <v>8 THN 1 BLN</v>
      </c>
      <c r="H37" s="35">
        <v>29127</v>
      </c>
      <c r="I37" s="36" t="str">
        <f t="shared" ca="1" si="5"/>
        <v>46 THN 11 BLN</v>
      </c>
      <c r="J37" s="59" t="s">
        <v>317</v>
      </c>
      <c r="K37" s="40" t="s">
        <v>1</v>
      </c>
      <c r="L37" s="23" t="s">
        <v>313</v>
      </c>
      <c r="M37" s="36"/>
    </row>
    <row r="38" spans="1:13" x14ac:dyDescent="0.35">
      <c r="A38" s="2">
        <v>242</v>
      </c>
      <c r="B38" s="3" t="s">
        <v>76</v>
      </c>
      <c r="C38" s="23" t="s">
        <v>199</v>
      </c>
      <c r="D38" s="24"/>
      <c r="E38" s="24" t="s">
        <v>316</v>
      </c>
      <c r="F38" s="35">
        <v>43299</v>
      </c>
      <c r="G38" s="36" t="str">
        <f t="shared" ca="1" si="4"/>
        <v>8 THN 1 BLN</v>
      </c>
      <c r="H38" s="35">
        <v>28636</v>
      </c>
      <c r="I38" s="36" t="str">
        <f t="shared" ca="1" si="5"/>
        <v>48 THN 3 BLN</v>
      </c>
      <c r="J38" s="59" t="s">
        <v>317</v>
      </c>
      <c r="K38" s="40" t="s">
        <v>1</v>
      </c>
      <c r="L38" s="23" t="s">
        <v>309</v>
      </c>
      <c r="M38" s="36" t="s">
        <v>311</v>
      </c>
    </row>
    <row r="39" spans="1:13" x14ac:dyDescent="0.35">
      <c r="A39" s="2">
        <v>247</v>
      </c>
      <c r="B39" s="3" t="s">
        <v>110</v>
      </c>
      <c r="C39" s="23" t="s">
        <v>34</v>
      </c>
      <c r="D39" s="24" t="s">
        <v>200</v>
      </c>
      <c r="E39" s="24" t="s">
        <v>316</v>
      </c>
      <c r="F39" s="35">
        <v>43325</v>
      </c>
      <c r="G39" s="36" t="str">
        <f t="shared" ca="1" si="4"/>
        <v>8 THN 0 BLN</v>
      </c>
      <c r="H39" s="35">
        <v>30443</v>
      </c>
      <c r="I39" s="36" t="str">
        <f t="shared" ca="1" si="5"/>
        <v>43 THN 3 BLN</v>
      </c>
      <c r="J39" s="59" t="s">
        <v>317</v>
      </c>
      <c r="K39" s="40" t="s">
        <v>1</v>
      </c>
      <c r="L39" s="23" t="s">
        <v>313</v>
      </c>
      <c r="M39" s="36"/>
    </row>
    <row r="40" spans="1:13" x14ac:dyDescent="0.35">
      <c r="A40" s="2">
        <v>263</v>
      </c>
      <c r="B40" s="3" t="s">
        <v>201</v>
      </c>
      <c r="C40" s="23" t="s">
        <v>90</v>
      </c>
      <c r="D40" s="24"/>
      <c r="E40" s="24" t="s">
        <v>316</v>
      </c>
      <c r="F40" s="35">
        <v>43347</v>
      </c>
      <c r="G40" s="36" t="str">
        <f t="shared" ca="1" si="4"/>
        <v>7 THN 11 BLN</v>
      </c>
      <c r="H40" s="35">
        <v>33595</v>
      </c>
      <c r="I40" s="36" t="str">
        <f t="shared" ca="1" si="5"/>
        <v>34 THN 8 BLN</v>
      </c>
      <c r="J40" s="59" t="s">
        <v>317</v>
      </c>
      <c r="K40" s="40" t="s">
        <v>1</v>
      </c>
      <c r="L40" s="23" t="s">
        <v>309</v>
      </c>
      <c r="M40" s="36" t="s">
        <v>312</v>
      </c>
    </row>
    <row r="41" spans="1:13" x14ac:dyDescent="0.35">
      <c r="A41" s="2">
        <v>283</v>
      </c>
      <c r="B41" s="3" t="s">
        <v>202</v>
      </c>
      <c r="C41" s="23" t="s">
        <v>25</v>
      </c>
      <c r="D41" s="24"/>
      <c r="E41" s="24" t="s">
        <v>316</v>
      </c>
      <c r="F41" s="35">
        <v>43493</v>
      </c>
      <c r="G41" s="36" t="str">
        <f t="shared" ca="1" si="4"/>
        <v>7 THN 7 BLN</v>
      </c>
      <c r="H41" s="35">
        <v>34000</v>
      </c>
      <c r="I41" s="36" t="str">
        <f t="shared" ca="1" si="5"/>
        <v>33 THN 6 BLN</v>
      </c>
      <c r="J41" s="59" t="s">
        <v>317</v>
      </c>
      <c r="K41" s="40" t="s">
        <v>1</v>
      </c>
      <c r="L41" s="23" t="s">
        <v>309</v>
      </c>
      <c r="M41" s="36" t="s">
        <v>312</v>
      </c>
    </row>
    <row r="42" spans="1:13" x14ac:dyDescent="0.35">
      <c r="A42" s="2">
        <v>295</v>
      </c>
      <c r="B42" s="3" t="s">
        <v>96</v>
      </c>
      <c r="C42" s="23" t="s">
        <v>199</v>
      </c>
      <c r="D42" s="24"/>
      <c r="E42" s="24" t="s">
        <v>316</v>
      </c>
      <c r="F42" s="35">
        <v>43509</v>
      </c>
      <c r="G42" s="36" t="str">
        <f t="shared" ca="1" si="4"/>
        <v>7 THN 6 BLN</v>
      </c>
      <c r="H42" s="35">
        <v>26829</v>
      </c>
      <c r="I42" s="36" t="str">
        <f t="shared" ca="1" si="5"/>
        <v>53 THN 2 BLN</v>
      </c>
      <c r="J42" s="59" t="s">
        <v>317</v>
      </c>
      <c r="K42" s="40" t="s">
        <v>1</v>
      </c>
      <c r="L42" s="23" t="s">
        <v>309</v>
      </c>
      <c r="M42" s="36" t="s">
        <v>311</v>
      </c>
    </row>
    <row r="43" spans="1:13" x14ac:dyDescent="0.35">
      <c r="A43" s="2">
        <v>303</v>
      </c>
      <c r="B43" s="3" t="s">
        <v>51</v>
      </c>
      <c r="C43" s="23" t="s">
        <v>34</v>
      </c>
      <c r="D43" s="24" t="s">
        <v>203</v>
      </c>
      <c r="E43" s="24" t="s">
        <v>316</v>
      </c>
      <c r="F43" s="35">
        <v>43150</v>
      </c>
      <c r="G43" s="36" t="str">
        <f t="shared" ca="1" si="4"/>
        <v>8 THN 6 BLN</v>
      </c>
      <c r="H43" s="35">
        <v>30297</v>
      </c>
      <c r="I43" s="36" t="str">
        <f t="shared" ca="1" si="5"/>
        <v>43 THN 8 BLN</v>
      </c>
      <c r="J43" s="59" t="s">
        <v>317</v>
      </c>
      <c r="K43" s="40" t="s">
        <v>1</v>
      </c>
      <c r="L43" s="23" t="s">
        <v>309</v>
      </c>
      <c r="M43" s="36" t="s">
        <v>312</v>
      </c>
    </row>
    <row r="44" spans="1:13" x14ac:dyDescent="0.35">
      <c r="A44" s="2">
        <v>304</v>
      </c>
      <c r="B44" s="3" t="s">
        <v>102</v>
      </c>
      <c r="C44" s="23" t="s">
        <v>34</v>
      </c>
      <c r="D44" s="24" t="s">
        <v>204</v>
      </c>
      <c r="E44" s="24" t="s">
        <v>316</v>
      </c>
      <c r="F44" s="35">
        <v>43525</v>
      </c>
      <c r="G44" s="36" t="str">
        <f t="shared" ca="1" si="4"/>
        <v>7 THN 5 BLN</v>
      </c>
      <c r="H44" s="35">
        <v>34586</v>
      </c>
      <c r="I44" s="36" t="str">
        <f t="shared" ca="1" si="5"/>
        <v>31 THN 11 BLN</v>
      </c>
      <c r="J44" s="59" t="s">
        <v>362</v>
      </c>
      <c r="K44" s="40" t="s">
        <v>317</v>
      </c>
      <c r="L44" s="23" t="s">
        <v>309</v>
      </c>
      <c r="M44" s="36" t="s">
        <v>312</v>
      </c>
    </row>
    <row r="45" spans="1:13" x14ac:dyDescent="0.35">
      <c r="A45" s="2">
        <v>306</v>
      </c>
      <c r="B45" s="3" t="s">
        <v>103</v>
      </c>
      <c r="C45" s="23" t="s">
        <v>34</v>
      </c>
      <c r="D45" s="24" t="s">
        <v>204</v>
      </c>
      <c r="E45" s="24" t="s">
        <v>316</v>
      </c>
      <c r="F45" s="35">
        <v>43525</v>
      </c>
      <c r="G45" s="36" t="str">
        <f t="shared" ca="1" si="4"/>
        <v>7 THN 5 BLN</v>
      </c>
      <c r="H45" s="35">
        <v>34500</v>
      </c>
      <c r="I45" s="36" t="str">
        <f t="shared" ca="1" si="5"/>
        <v>32 THN 2 BLN</v>
      </c>
      <c r="J45" s="59" t="s">
        <v>362</v>
      </c>
      <c r="K45" s="40" t="s">
        <v>317</v>
      </c>
      <c r="L45" s="23" t="s">
        <v>309</v>
      </c>
      <c r="M45" s="36" t="s">
        <v>312</v>
      </c>
    </row>
    <row r="46" spans="1:13" x14ac:dyDescent="0.35">
      <c r="A46" s="2">
        <v>322</v>
      </c>
      <c r="B46" s="3" t="s">
        <v>84</v>
      </c>
      <c r="C46" s="23" t="s">
        <v>25</v>
      </c>
      <c r="D46" s="24"/>
      <c r="E46" s="24" t="s">
        <v>316</v>
      </c>
      <c r="F46" s="37">
        <v>43658</v>
      </c>
      <c r="G46" s="36" t="str">
        <f ca="1">DATEDIF(F46,TODAY(),"Y")&amp; " THN "&amp;DATEDIF(F46,TODAY(),"YM")&amp;" BLN"</f>
        <v>7 THN 1 BLN</v>
      </c>
      <c r="H46" s="35">
        <v>36884</v>
      </c>
      <c r="I46" s="36" t="str">
        <f ca="1">DATEDIF(H46,TODAY(),"Y")&amp; " THN "&amp;DATEDIF(H46,TODAY(),"YM")&amp;" BLN"</f>
        <v>25 THN 8 BLN</v>
      </c>
      <c r="J46" s="59" t="s">
        <v>317</v>
      </c>
      <c r="K46" s="40" t="s">
        <v>1</v>
      </c>
      <c r="L46" s="23" t="s">
        <v>309</v>
      </c>
      <c r="M46" s="36" t="s">
        <v>312</v>
      </c>
    </row>
    <row r="47" spans="1:13" x14ac:dyDescent="0.35">
      <c r="A47" s="2">
        <v>332</v>
      </c>
      <c r="B47" s="3" t="s">
        <v>97</v>
      </c>
      <c r="C47" s="23" t="s">
        <v>6</v>
      </c>
      <c r="D47" s="24"/>
      <c r="E47" s="24" t="s">
        <v>316</v>
      </c>
      <c r="F47" s="35">
        <v>43703</v>
      </c>
      <c r="G47" s="36" t="str">
        <f t="shared" ref="G47:G110" ca="1" si="6">DATEDIF(F47,TODAY(),"Y")&amp; " THN "&amp;DATEDIF(F47,TODAY(),"YM")&amp;" BLN"</f>
        <v>7 THN 0 BLN</v>
      </c>
      <c r="H47" s="35">
        <v>31587</v>
      </c>
      <c r="I47" s="36" t="str">
        <f t="shared" ref="I47:I110" ca="1" si="7">DATEDIF(H47,TODAY(),"Y")&amp; " THN "&amp;DATEDIF(H47,TODAY(),"YM")&amp;" BLN"</f>
        <v>40 THN 2 BLN</v>
      </c>
      <c r="J47" s="59" t="s">
        <v>317</v>
      </c>
      <c r="K47" s="40" t="s">
        <v>317</v>
      </c>
      <c r="L47" s="23" t="s">
        <v>308</v>
      </c>
      <c r="M47" s="36" t="s">
        <v>6</v>
      </c>
    </row>
    <row r="48" spans="1:13" x14ac:dyDescent="0.35">
      <c r="A48" s="2">
        <v>341</v>
      </c>
      <c r="B48" s="3" t="s">
        <v>118</v>
      </c>
      <c r="C48" s="23" t="s">
        <v>69</v>
      </c>
      <c r="D48" s="24"/>
      <c r="E48" s="24" t="s">
        <v>316</v>
      </c>
      <c r="F48" s="35">
        <v>43823</v>
      </c>
      <c r="G48" s="36" t="str">
        <f t="shared" ca="1" si="6"/>
        <v>6 THN 8 BLN</v>
      </c>
      <c r="H48" s="35">
        <v>29104</v>
      </c>
      <c r="I48" s="36" t="str">
        <f t="shared" ca="1" si="7"/>
        <v>46 THN 11 BLN</v>
      </c>
      <c r="J48" s="59" t="s">
        <v>317</v>
      </c>
      <c r="K48" s="40" t="s">
        <v>317</v>
      </c>
      <c r="L48" s="23" t="s">
        <v>309</v>
      </c>
      <c r="M48" s="36" t="s">
        <v>311</v>
      </c>
    </row>
    <row r="49" spans="1:13" x14ac:dyDescent="0.35">
      <c r="A49" s="2">
        <v>348</v>
      </c>
      <c r="B49" s="3" t="s">
        <v>115</v>
      </c>
      <c r="C49" s="23" t="s">
        <v>192</v>
      </c>
      <c r="D49" s="24" t="s">
        <v>205</v>
      </c>
      <c r="E49" s="24" t="s">
        <v>316</v>
      </c>
      <c r="F49" s="37">
        <v>43881</v>
      </c>
      <c r="G49" s="36" t="str">
        <f t="shared" ca="1" si="6"/>
        <v>6 THN 6 BLN</v>
      </c>
      <c r="H49" s="35">
        <v>35701</v>
      </c>
      <c r="I49" s="36" t="str">
        <f t="shared" ca="1" si="7"/>
        <v>28 THN 11 BLN</v>
      </c>
      <c r="J49" s="59" t="s">
        <v>317</v>
      </c>
      <c r="K49" s="40" t="s">
        <v>317</v>
      </c>
      <c r="L49" s="23" t="s">
        <v>313</v>
      </c>
      <c r="M49" s="36"/>
    </row>
    <row r="50" spans="1:13" x14ac:dyDescent="0.35">
      <c r="A50" s="2">
        <v>354</v>
      </c>
      <c r="B50" s="3" t="s">
        <v>113</v>
      </c>
      <c r="C50" s="23" t="s">
        <v>16</v>
      </c>
      <c r="D50" s="24"/>
      <c r="E50" s="24" t="s">
        <v>316</v>
      </c>
      <c r="F50" s="35">
        <v>43910</v>
      </c>
      <c r="G50" s="36" t="str">
        <f t="shared" ca="1" si="6"/>
        <v>6 THN 5 BLN</v>
      </c>
      <c r="H50" s="35">
        <v>33490</v>
      </c>
      <c r="I50" s="36" t="str">
        <f t="shared" ca="1" si="7"/>
        <v>34 THN 11 BLN</v>
      </c>
      <c r="J50" s="59" t="s">
        <v>317</v>
      </c>
      <c r="K50" s="40" t="s">
        <v>317</v>
      </c>
      <c r="L50" s="23" t="s">
        <v>309</v>
      </c>
      <c r="M50" s="36" t="s">
        <v>311</v>
      </c>
    </row>
    <row r="51" spans="1:13" x14ac:dyDescent="0.35">
      <c r="A51" s="2">
        <v>356</v>
      </c>
      <c r="B51" s="3" t="s">
        <v>114</v>
      </c>
      <c r="C51" s="23" t="s">
        <v>6</v>
      </c>
      <c r="D51" s="24" t="s">
        <v>206</v>
      </c>
      <c r="E51" s="24" t="s">
        <v>316</v>
      </c>
      <c r="F51" s="35">
        <v>44013</v>
      </c>
      <c r="G51" s="36" t="str">
        <f t="shared" ca="1" si="6"/>
        <v>6 THN 1 BLN</v>
      </c>
      <c r="H51" s="35">
        <v>33216</v>
      </c>
      <c r="I51" s="36" t="str">
        <f t="shared" ca="1" si="7"/>
        <v>35 THN 8 BLN</v>
      </c>
      <c r="J51" s="59" t="s">
        <v>317</v>
      </c>
      <c r="K51" s="40" t="s">
        <v>317</v>
      </c>
      <c r="L51" s="23" t="s">
        <v>308</v>
      </c>
      <c r="M51" s="36" t="s">
        <v>6</v>
      </c>
    </row>
    <row r="52" spans="1:13" x14ac:dyDescent="0.35">
      <c r="A52" s="2">
        <v>361</v>
      </c>
      <c r="B52" s="3" t="s">
        <v>175</v>
      </c>
      <c r="C52" s="23" t="s">
        <v>199</v>
      </c>
      <c r="D52" s="24"/>
      <c r="E52" s="24" t="s">
        <v>316</v>
      </c>
      <c r="F52" s="35">
        <v>44058</v>
      </c>
      <c r="G52" s="36" t="str">
        <f t="shared" ca="1" si="6"/>
        <v>6 THN 0 BLN</v>
      </c>
      <c r="H52" s="35">
        <v>34860</v>
      </c>
      <c r="I52" s="36" t="str">
        <f t="shared" ca="1" si="7"/>
        <v>31 THN 2 BLN</v>
      </c>
      <c r="J52" s="59" t="s">
        <v>317</v>
      </c>
      <c r="K52" s="40" t="s">
        <v>317</v>
      </c>
      <c r="L52" s="23" t="s">
        <v>309</v>
      </c>
      <c r="M52" s="36" t="s">
        <v>311</v>
      </c>
    </row>
    <row r="53" spans="1:13" hidden="1" x14ac:dyDescent="0.35">
      <c r="A53" s="2">
        <v>364</v>
      </c>
      <c r="B53" s="3" t="s">
        <v>148</v>
      </c>
      <c r="C53" s="23" t="s">
        <v>6</v>
      </c>
      <c r="D53" s="24"/>
      <c r="E53" s="24" t="s">
        <v>291</v>
      </c>
      <c r="F53" s="35">
        <v>44061</v>
      </c>
      <c r="G53" s="36" t="str">
        <f t="shared" ca="1" si="6"/>
        <v>6 THN 0 BLN</v>
      </c>
      <c r="H53" s="35">
        <v>31896</v>
      </c>
      <c r="I53" s="36" t="str">
        <f t="shared" ca="1" si="7"/>
        <v>39 THN 4 BLN</v>
      </c>
      <c r="J53" s="60">
        <v>45946</v>
      </c>
      <c r="K53" s="40" t="s">
        <v>317</v>
      </c>
      <c r="L53" s="23" t="s">
        <v>308</v>
      </c>
      <c r="M53" s="36" t="s">
        <v>6</v>
      </c>
    </row>
    <row r="54" spans="1:13" x14ac:dyDescent="0.35">
      <c r="A54" s="2">
        <v>365</v>
      </c>
      <c r="B54" s="3" t="s">
        <v>165</v>
      </c>
      <c r="C54" s="23" t="s">
        <v>207</v>
      </c>
      <c r="D54" s="24"/>
      <c r="E54" s="24" t="s">
        <v>316</v>
      </c>
      <c r="F54" s="35">
        <v>44069</v>
      </c>
      <c r="G54" s="36" t="str">
        <f t="shared" ca="1" si="6"/>
        <v>6 THN 0 BLN</v>
      </c>
      <c r="H54" s="35">
        <v>37322</v>
      </c>
      <c r="I54" s="36" t="str">
        <f t="shared" ca="1" si="7"/>
        <v>24 THN 5 BLN</v>
      </c>
      <c r="J54" s="59" t="s">
        <v>317</v>
      </c>
      <c r="K54" s="40" t="s">
        <v>317</v>
      </c>
      <c r="L54" s="23" t="s">
        <v>309</v>
      </c>
      <c r="M54" s="36" t="s">
        <v>312</v>
      </c>
    </row>
    <row r="55" spans="1:13" x14ac:dyDescent="0.35">
      <c r="A55" s="2">
        <v>370</v>
      </c>
      <c r="B55" s="3" t="s">
        <v>167</v>
      </c>
      <c r="C55" s="23" t="s">
        <v>34</v>
      </c>
      <c r="D55" s="24" t="s">
        <v>208</v>
      </c>
      <c r="E55" s="24" t="s">
        <v>316</v>
      </c>
      <c r="F55" s="35">
        <v>44088</v>
      </c>
      <c r="G55" s="36" t="str">
        <f t="shared" ca="1" si="6"/>
        <v>5 THN 11 BLN</v>
      </c>
      <c r="H55" s="35">
        <v>35598</v>
      </c>
      <c r="I55" s="36" t="str">
        <f t="shared" ca="1" si="7"/>
        <v>29 THN 2 BLN</v>
      </c>
      <c r="J55" s="59" t="s">
        <v>317</v>
      </c>
      <c r="K55" s="40" t="s">
        <v>317</v>
      </c>
      <c r="L55" s="23" t="s">
        <v>313</v>
      </c>
      <c r="M55" s="36"/>
    </row>
    <row r="56" spans="1:13" x14ac:dyDescent="0.35">
      <c r="A56" s="2">
        <v>372</v>
      </c>
      <c r="B56" s="3" t="s">
        <v>153</v>
      </c>
      <c r="C56" s="23" t="s">
        <v>192</v>
      </c>
      <c r="D56" s="24"/>
      <c r="E56" s="24" t="s">
        <v>316</v>
      </c>
      <c r="F56" s="35">
        <v>44091</v>
      </c>
      <c r="G56" s="36" t="str">
        <f t="shared" ca="1" si="6"/>
        <v>5 THN 11 BLN</v>
      </c>
      <c r="H56" s="35">
        <v>37312</v>
      </c>
      <c r="I56" s="36" t="str">
        <f t="shared" ca="1" si="7"/>
        <v>24 THN 6 BLN</v>
      </c>
      <c r="J56" s="59" t="s">
        <v>317</v>
      </c>
      <c r="K56" s="40" t="s">
        <v>317</v>
      </c>
      <c r="L56" s="23" t="s">
        <v>313</v>
      </c>
      <c r="M56" s="36"/>
    </row>
    <row r="57" spans="1:13" x14ac:dyDescent="0.35">
      <c r="A57" s="2">
        <v>373</v>
      </c>
      <c r="B57" s="3" t="s">
        <v>173</v>
      </c>
      <c r="C57" s="23" t="s">
        <v>90</v>
      </c>
      <c r="D57" s="24"/>
      <c r="E57" s="24" t="s">
        <v>316</v>
      </c>
      <c r="F57" s="37">
        <v>44095</v>
      </c>
      <c r="G57" s="36" t="str">
        <f t="shared" ca="1" si="6"/>
        <v>5 THN 11 BLN</v>
      </c>
      <c r="H57" s="35">
        <v>34865</v>
      </c>
      <c r="I57" s="36" t="str">
        <f t="shared" ca="1" si="7"/>
        <v>31 THN 2 BLN</v>
      </c>
      <c r="J57" s="59" t="s">
        <v>317</v>
      </c>
      <c r="K57" s="40" t="s">
        <v>317</v>
      </c>
      <c r="L57" s="23" t="s">
        <v>319</v>
      </c>
      <c r="M57" s="36" t="s">
        <v>318</v>
      </c>
    </row>
    <row r="58" spans="1:13" x14ac:dyDescent="0.35">
      <c r="A58" s="2">
        <v>383</v>
      </c>
      <c r="B58" s="3" t="s">
        <v>209</v>
      </c>
      <c r="C58" s="23" t="s">
        <v>34</v>
      </c>
      <c r="D58" s="24" t="s">
        <v>210</v>
      </c>
      <c r="E58" s="24" t="s">
        <v>316</v>
      </c>
      <c r="F58" s="35">
        <v>44184</v>
      </c>
      <c r="G58" s="36" t="str">
        <f t="shared" ca="1" si="6"/>
        <v>5 THN 8 BLN</v>
      </c>
      <c r="H58" s="35">
        <v>37188</v>
      </c>
      <c r="I58" s="36" t="str">
        <f t="shared" ca="1" si="7"/>
        <v>24 THN 10 BLN</v>
      </c>
      <c r="J58" s="59" t="s">
        <v>317</v>
      </c>
      <c r="K58" s="40" t="s">
        <v>317</v>
      </c>
      <c r="L58" s="23" t="s">
        <v>313</v>
      </c>
      <c r="M58" s="36"/>
    </row>
    <row r="59" spans="1:13" x14ac:dyDescent="0.35">
      <c r="A59" s="2">
        <v>387</v>
      </c>
      <c r="B59" s="3" t="s">
        <v>183</v>
      </c>
      <c r="C59" s="23" t="s">
        <v>6</v>
      </c>
      <c r="D59" s="24"/>
      <c r="E59" s="24" t="s">
        <v>316</v>
      </c>
      <c r="F59" s="35">
        <v>44172</v>
      </c>
      <c r="G59" s="36" t="str">
        <f t="shared" ca="1" si="6"/>
        <v>5 THN 8 BLN</v>
      </c>
      <c r="H59" s="35">
        <v>30634</v>
      </c>
      <c r="I59" s="36" t="str">
        <f t="shared" ca="1" si="7"/>
        <v>42 THN 9 BLN</v>
      </c>
      <c r="J59" s="59" t="s">
        <v>317</v>
      </c>
      <c r="K59" s="40" t="s">
        <v>317</v>
      </c>
      <c r="L59" s="23" t="s">
        <v>308</v>
      </c>
      <c r="M59" s="36" t="s">
        <v>6</v>
      </c>
    </row>
    <row r="60" spans="1:13" x14ac:dyDescent="0.35">
      <c r="A60" s="2">
        <v>389</v>
      </c>
      <c r="B60" s="3" t="s">
        <v>211</v>
      </c>
      <c r="C60" s="23" t="s">
        <v>34</v>
      </c>
      <c r="D60" s="24" t="s">
        <v>212</v>
      </c>
      <c r="E60" s="24" t="s">
        <v>316</v>
      </c>
      <c r="F60" s="35">
        <v>44184</v>
      </c>
      <c r="G60" s="36" t="str">
        <f t="shared" ca="1" si="6"/>
        <v>5 THN 8 BLN</v>
      </c>
      <c r="H60" s="35">
        <v>37454</v>
      </c>
      <c r="I60" s="36" t="str">
        <f t="shared" ca="1" si="7"/>
        <v>24 THN 1 BLN</v>
      </c>
      <c r="J60" s="59" t="s">
        <v>317</v>
      </c>
      <c r="K60" s="40" t="s">
        <v>317</v>
      </c>
      <c r="L60" s="23" t="s">
        <v>309</v>
      </c>
      <c r="M60" s="36" t="s">
        <v>312</v>
      </c>
    </row>
    <row r="61" spans="1:13" x14ac:dyDescent="0.35">
      <c r="A61" s="2">
        <v>391</v>
      </c>
      <c r="B61" s="3" t="s">
        <v>213</v>
      </c>
      <c r="C61" s="23" t="s">
        <v>90</v>
      </c>
      <c r="D61" s="24"/>
      <c r="E61" s="24" t="s">
        <v>316</v>
      </c>
      <c r="F61" s="35">
        <v>44222</v>
      </c>
      <c r="G61" s="36" t="str">
        <f t="shared" ca="1" si="6"/>
        <v>5 THN 7 BLN</v>
      </c>
      <c r="H61" s="35">
        <v>36595</v>
      </c>
      <c r="I61" s="36" t="str">
        <f t="shared" ca="1" si="7"/>
        <v>26 THN 5 BLN</v>
      </c>
      <c r="J61" s="59" t="s">
        <v>317</v>
      </c>
      <c r="K61" s="40" t="s">
        <v>317</v>
      </c>
      <c r="L61" s="23" t="s">
        <v>309</v>
      </c>
      <c r="M61" s="36" t="s">
        <v>312</v>
      </c>
    </row>
    <row r="62" spans="1:13" x14ac:dyDescent="0.35">
      <c r="A62" s="2">
        <v>401</v>
      </c>
      <c r="B62" s="58" t="s">
        <v>214</v>
      </c>
      <c r="C62" s="23" t="s">
        <v>34</v>
      </c>
      <c r="D62" s="24" t="s">
        <v>210</v>
      </c>
      <c r="E62" s="24" t="s">
        <v>316</v>
      </c>
      <c r="F62" s="35">
        <v>44261</v>
      </c>
      <c r="G62" s="36" t="str">
        <f t="shared" ca="1" si="6"/>
        <v>5 THN 5 BLN</v>
      </c>
      <c r="H62" s="35">
        <v>36597</v>
      </c>
      <c r="I62" s="36" t="str">
        <f t="shared" ca="1" si="7"/>
        <v>26 THN 5 BLN</v>
      </c>
      <c r="J62" s="59" t="s">
        <v>317</v>
      </c>
      <c r="K62" s="40" t="s">
        <v>317</v>
      </c>
      <c r="L62" s="23" t="s">
        <v>319</v>
      </c>
      <c r="M62" s="36"/>
    </row>
    <row r="63" spans="1:13" x14ac:dyDescent="0.35">
      <c r="A63" s="2">
        <v>406</v>
      </c>
      <c r="B63" s="3" t="s">
        <v>215</v>
      </c>
      <c r="C63" s="23" t="s">
        <v>6</v>
      </c>
      <c r="D63" s="24"/>
      <c r="E63" s="24" t="s">
        <v>316</v>
      </c>
      <c r="F63" s="35">
        <v>44270</v>
      </c>
      <c r="G63" s="36" t="str">
        <f t="shared" ca="1" si="6"/>
        <v>5 THN 5 BLN</v>
      </c>
      <c r="H63" s="35">
        <v>36094</v>
      </c>
      <c r="I63" s="36" t="str">
        <f t="shared" ca="1" si="7"/>
        <v>27 THN 10 BLN</v>
      </c>
      <c r="J63" s="59" t="s">
        <v>317</v>
      </c>
      <c r="K63" s="40" t="s">
        <v>317</v>
      </c>
      <c r="L63" s="23" t="s">
        <v>308</v>
      </c>
      <c r="M63" s="36" t="s">
        <v>6</v>
      </c>
    </row>
    <row r="64" spans="1:13" x14ac:dyDescent="0.35">
      <c r="A64" s="2">
        <v>408</v>
      </c>
      <c r="B64" s="3" t="s">
        <v>216</v>
      </c>
      <c r="C64" s="23" t="s">
        <v>34</v>
      </c>
      <c r="D64" s="24" t="s">
        <v>200</v>
      </c>
      <c r="E64" s="24" t="s">
        <v>316</v>
      </c>
      <c r="F64" s="35">
        <v>44289</v>
      </c>
      <c r="G64" s="36" t="str">
        <f t="shared" ca="1" si="6"/>
        <v>5 THN 4 BLN</v>
      </c>
      <c r="H64" s="35">
        <v>37022</v>
      </c>
      <c r="I64" s="36" t="str">
        <f t="shared" ca="1" si="7"/>
        <v>25 THN 3 BLN</v>
      </c>
      <c r="J64" s="59" t="s">
        <v>317</v>
      </c>
      <c r="K64" s="40" t="s">
        <v>317</v>
      </c>
      <c r="L64" s="23" t="s">
        <v>309</v>
      </c>
      <c r="M64" s="36" t="s">
        <v>312</v>
      </c>
    </row>
    <row r="65" spans="1:13" x14ac:dyDescent="0.35">
      <c r="A65" s="2">
        <v>419</v>
      </c>
      <c r="B65" s="3" t="s">
        <v>217</v>
      </c>
      <c r="C65" s="23" t="s">
        <v>34</v>
      </c>
      <c r="D65" s="24" t="s">
        <v>198</v>
      </c>
      <c r="E65" s="24" t="s">
        <v>316</v>
      </c>
      <c r="F65" s="35">
        <v>44368</v>
      </c>
      <c r="G65" s="36" t="str">
        <f t="shared" ca="1" si="6"/>
        <v>5 THN 2 BLN</v>
      </c>
      <c r="H65" s="35">
        <v>35871</v>
      </c>
      <c r="I65" s="36" t="str">
        <f t="shared" ca="1" si="7"/>
        <v>28 THN 5 BLN</v>
      </c>
      <c r="J65" s="59" t="s">
        <v>317</v>
      </c>
      <c r="K65" s="40" t="s">
        <v>317</v>
      </c>
      <c r="L65" s="23" t="s">
        <v>313</v>
      </c>
      <c r="M65" s="36"/>
    </row>
    <row r="66" spans="1:13" x14ac:dyDescent="0.35">
      <c r="A66" s="2">
        <v>420</v>
      </c>
      <c r="B66" s="3" t="s">
        <v>218</v>
      </c>
      <c r="C66" s="23" t="s">
        <v>207</v>
      </c>
      <c r="D66" s="24"/>
      <c r="E66" s="24" t="s">
        <v>316</v>
      </c>
      <c r="F66" s="35">
        <v>44369</v>
      </c>
      <c r="G66" s="36" t="str">
        <f t="shared" ca="1" si="6"/>
        <v>5 THN 2 BLN</v>
      </c>
      <c r="H66" s="35">
        <v>35894</v>
      </c>
      <c r="I66" s="36" t="str">
        <f t="shared" ca="1" si="7"/>
        <v>28 THN 4 BLN</v>
      </c>
      <c r="J66" s="59" t="s">
        <v>317</v>
      </c>
      <c r="K66" s="40" t="s">
        <v>317</v>
      </c>
      <c r="L66" s="23" t="s">
        <v>309</v>
      </c>
      <c r="M66" s="36" t="s">
        <v>312</v>
      </c>
    </row>
    <row r="67" spans="1:13" x14ac:dyDescent="0.35">
      <c r="A67" s="2">
        <v>421</v>
      </c>
      <c r="B67" s="3" t="s">
        <v>219</v>
      </c>
      <c r="C67" s="23" t="s">
        <v>16</v>
      </c>
      <c r="D67" s="24"/>
      <c r="E67" s="24" t="s">
        <v>316</v>
      </c>
      <c r="F67" s="35">
        <v>44392</v>
      </c>
      <c r="G67" s="36" t="str">
        <f t="shared" ca="1" si="6"/>
        <v>5 THN 1 BLN</v>
      </c>
      <c r="H67" s="35">
        <v>35338</v>
      </c>
      <c r="I67" s="36" t="str">
        <f t="shared" ca="1" si="7"/>
        <v>29 THN 10 BLN</v>
      </c>
      <c r="J67" s="59" t="s">
        <v>317</v>
      </c>
      <c r="K67" s="40" t="s">
        <v>317</v>
      </c>
      <c r="L67" s="23" t="s">
        <v>309</v>
      </c>
      <c r="M67" s="36" t="s">
        <v>311</v>
      </c>
    </row>
    <row r="68" spans="1:13" x14ac:dyDescent="0.35">
      <c r="A68" s="2">
        <v>425</v>
      </c>
      <c r="B68" s="3" t="s">
        <v>220</v>
      </c>
      <c r="C68" s="23" t="s">
        <v>88</v>
      </c>
      <c r="D68" s="24"/>
      <c r="E68" s="24" t="s">
        <v>316</v>
      </c>
      <c r="F68" s="39" t="s">
        <v>320</v>
      </c>
      <c r="G68" s="36" t="str">
        <f t="shared" ca="1" si="6"/>
        <v>5 THN 1 BLN</v>
      </c>
      <c r="H68" s="35">
        <v>32559</v>
      </c>
      <c r="I68" s="36" t="str">
        <f t="shared" ca="1" si="7"/>
        <v>37 THN 6 BLN</v>
      </c>
      <c r="J68" s="59" t="s">
        <v>317</v>
      </c>
      <c r="K68" s="40" t="s">
        <v>317</v>
      </c>
      <c r="L68" s="23" t="s">
        <v>313</v>
      </c>
      <c r="M68" s="51"/>
    </row>
    <row r="69" spans="1:13" x14ac:dyDescent="0.35">
      <c r="A69" s="2">
        <v>426</v>
      </c>
      <c r="B69" s="3" t="s">
        <v>221</v>
      </c>
      <c r="C69" s="23" t="s">
        <v>34</v>
      </c>
      <c r="D69" s="24" t="s">
        <v>194</v>
      </c>
      <c r="E69" s="24" t="s">
        <v>316</v>
      </c>
      <c r="F69" s="39" t="s">
        <v>321</v>
      </c>
      <c r="G69" s="36" t="str">
        <f t="shared" ca="1" si="6"/>
        <v>5 THN 0 BLN</v>
      </c>
      <c r="H69" s="35">
        <v>35140</v>
      </c>
      <c r="I69" s="36" t="str">
        <f t="shared" ca="1" si="7"/>
        <v>30 THN 5 BLN</v>
      </c>
      <c r="J69" s="59" t="s">
        <v>317</v>
      </c>
      <c r="K69" s="40" t="s">
        <v>317</v>
      </c>
      <c r="L69" s="23" t="s">
        <v>313</v>
      </c>
      <c r="M69" s="51"/>
    </row>
    <row r="70" spans="1:13" x14ac:dyDescent="0.35">
      <c r="A70" s="2">
        <v>428</v>
      </c>
      <c r="B70" s="3" t="s">
        <v>222</v>
      </c>
      <c r="C70" s="23" t="s">
        <v>34</v>
      </c>
      <c r="D70" s="24" t="s">
        <v>223</v>
      </c>
      <c r="E70" s="24" t="s">
        <v>316</v>
      </c>
      <c r="F70" s="39" t="s">
        <v>321</v>
      </c>
      <c r="G70" s="36" t="str">
        <f t="shared" ca="1" si="6"/>
        <v>5 THN 0 BLN</v>
      </c>
      <c r="H70" s="35">
        <v>30333</v>
      </c>
      <c r="I70" s="36" t="str">
        <f t="shared" ca="1" si="7"/>
        <v>43 THN 7 BLN</v>
      </c>
      <c r="J70" s="59" t="s">
        <v>317</v>
      </c>
      <c r="K70" s="40" t="s">
        <v>317</v>
      </c>
      <c r="L70" s="23" t="s">
        <v>313</v>
      </c>
      <c r="M70" s="51"/>
    </row>
    <row r="71" spans="1:13" x14ac:dyDescent="0.35">
      <c r="A71" s="2">
        <v>430</v>
      </c>
      <c r="B71" s="3" t="s">
        <v>224</v>
      </c>
      <c r="C71" s="23" t="s">
        <v>88</v>
      </c>
      <c r="D71" s="24"/>
      <c r="E71" s="24" t="s">
        <v>316</v>
      </c>
      <c r="F71" s="35">
        <v>44434</v>
      </c>
      <c r="G71" s="36" t="str">
        <f t="shared" ca="1" si="6"/>
        <v>5 THN 0 BLN</v>
      </c>
      <c r="H71" s="35">
        <v>36159</v>
      </c>
      <c r="I71" s="36" t="str">
        <f t="shared" ca="1" si="7"/>
        <v>27 THN 7 BLN</v>
      </c>
      <c r="J71" s="59" t="s">
        <v>317</v>
      </c>
      <c r="K71" s="40" t="s">
        <v>317</v>
      </c>
      <c r="L71" s="23" t="s">
        <v>313</v>
      </c>
      <c r="M71" s="51"/>
    </row>
    <row r="72" spans="1:13" x14ac:dyDescent="0.35">
      <c r="A72" s="2">
        <v>434</v>
      </c>
      <c r="B72" s="3" t="s">
        <v>225</v>
      </c>
      <c r="C72" s="23" t="s">
        <v>90</v>
      </c>
      <c r="D72" s="24"/>
      <c r="E72" s="24" t="s">
        <v>316</v>
      </c>
      <c r="F72" s="39" t="s">
        <v>322</v>
      </c>
      <c r="G72" s="36" t="str">
        <f t="shared" ca="1" si="6"/>
        <v>4 THN 11 BLN</v>
      </c>
      <c r="H72" s="35">
        <v>36542</v>
      </c>
      <c r="I72" s="36" t="str">
        <f t="shared" ca="1" si="7"/>
        <v>26 THN 7 BLN</v>
      </c>
      <c r="J72" s="59" t="s">
        <v>317</v>
      </c>
      <c r="K72" s="40" t="s">
        <v>317</v>
      </c>
      <c r="L72" s="23" t="s">
        <v>309</v>
      </c>
      <c r="M72" s="36" t="s">
        <v>312</v>
      </c>
    </row>
    <row r="73" spans="1:13" x14ac:dyDescent="0.35">
      <c r="A73" s="2">
        <v>448</v>
      </c>
      <c r="B73" s="3" t="s">
        <v>226</v>
      </c>
      <c r="C73" s="23" t="s">
        <v>192</v>
      </c>
      <c r="D73" s="24"/>
      <c r="E73" s="24" t="s">
        <v>316</v>
      </c>
      <c r="F73" s="39" t="s">
        <v>323</v>
      </c>
      <c r="G73" s="36" t="str">
        <f t="shared" ca="1" si="6"/>
        <v>4 THN 10 BLN</v>
      </c>
      <c r="H73" s="35">
        <v>37472</v>
      </c>
      <c r="I73" s="36" t="str">
        <f t="shared" ca="1" si="7"/>
        <v>24 THN 0 BLN</v>
      </c>
      <c r="J73" s="59" t="s">
        <v>317</v>
      </c>
      <c r="K73" s="40" t="s">
        <v>317</v>
      </c>
      <c r="L73" s="23" t="s">
        <v>313</v>
      </c>
      <c r="M73" s="36"/>
    </row>
    <row r="74" spans="1:13" x14ac:dyDescent="0.35">
      <c r="A74" s="2">
        <v>457</v>
      </c>
      <c r="B74" s="3" t="s">
        <v>227</v>
      </c>
      <c r="C74" s="23" t="s">
        <v>6</v>
      </c>
      <c r="D74" s="24" t="s">
        <v>192</v>
      </c>
      <c r="E74" s="24" t="s">
        <v>316</v>
      </c>
      <c r="F74" s="35">
        <v>44543</v>
      </c>
      <c r="G74" s="36" t="str">
        <f t="shared" ca="1" si="6"/>
        <v>4 THN 8 BLN</v>
      </c>
      <c r="H74" s="35">
        <v>34717</v>
      </c>
      <c r="I74" s="36" t="str">
        <f t="shared" ca="1" si="7"/>
        <v>31 THN 7 BLN</v>
      </c>
      <c r="J74" s="59" t="s">
        <v>317</v>
      </c>
      <c r="K74" s="40" t="s">
        <v>317</v>
      </c>
      <c r="L74" s="23" t="s">
        <v>308</v>
      </c>
      <c r="M74" s="36" t="s">
        <v>6</v>
      </c>
    </row>
    <row r="75" spans="1:13" hidden="1" x14ac:dyDescent="0.35">
      <c r="A75" s="2">
        <v>459</v>
      </c>
      <c r="B75" s="3" t="s">
        <v>228</v>
      </c>
      <c r="C75" s="23" t="s">
        <v>16</v>
      </c>
      <c r="D75" s="24" t="s">
        <v>229</v>
      </c>
      <c r="E75" s="24" t="s">
        <v>291</v>
      </c>
      <c r="F75" s="35">
        <v>44550</v>
      </c>
      <c r="G75" s="36" t="str">
        <f t="shared" ca="1" si="6"/>
        <v>4 THN 8 BLN</v>
      </c>
      <c r="H75" s="35">
        <v>28824</v>
      </c>
      <c r="I75" s="36" t="str">
        <f t="shared" ca="1" si="7"/>
        <v>47 THN 8 BLN</v>
      </c>
      <c r="J75" s="59" t="s">
        <v>317</v>
      </c>
      <c r="K75" s="40" t="s">
        <v>317</v>
      </c>
      <c r="L75" s="23" t="s">
        <v>309</v>
      </c>
      <c r="M75" s="36" t="s">
        <v>311</v>
      </c>
    </row>
    <row r="76" spans="1:13" hidden="1" x14ac:dyDescent="0.35">
      <c r="A76" s="2">
        <v>476</v>
      </c>
      <c r="B76" s="58" t="s">
        <v>230</v>
      </c>
      <c r="C76" s="23" t="s">
        <v>25</v>
      </c>
      <c r="D76" s="24"/>
      <c r="E76" s="24" t="s">
        <v>291</v>
      </c>
      <c r="F76" s="35">
        <v>44700</v>
      </c>
      <c r="G76" s="36" t="str">
        <f t="shared" ca="1" si="6"/>
        <v>4 THN 3 BLN</v>
      </c>
      <c r="H76" s="35">
        <v>36947</v>
      </c>
      <c r="I76" s="36" t="str">
        <f t="shared" ca="1" si="7"/>
        <v>25 THN 6 BLN</v>
      </c>
      <c r="J76" s="59" t="s">
        <v>317</v>
      </c>
      <c r="K76" s="40" t="s">
        <v>317</v>
      </c>
      <c r="L76" s="23" t="s">
        <v>319</v>
      </c>
      <c r="M76" s="36"/>
    </row>
    <row r="77" spans="1:13" x14ac:dyDescent="0.35">
      <c r="A77" s="2">
        <v>479</v>
      </c>
      <c r="B77" s="3" t="s">
        <v>231</v>
      </c>
      <c r="C77" s="23" t="s">
        <v>6</v>
      </c>
      <c r="D77" s="28"/>
      <c r="E77" s="24" t="s">
        <v>316</v>
      </c>
      <c r="F77" s="38">
        <v>44719</v>
      </c>
      <c r="G77" s="36" t="str">
        <f t="shared" ca="1" si="6"/>
        <v>4 THN 2 BLN</v>
      </c>
      <c r="H77" s="35">
        <v>31872</v>
      </c>
      <c r="I77" s="36" t="str">
        <f t="shared" ca="1" si="7"/>
        <v>39 THN 4 BLN</v>
      </c>
      <c r="J77" s="59" t="s">
        <v>317</v>
      </c>
      <c r="K77" s="40" t="s">
        <v>317</v>
      </c>
      <c r="L77" s="23" t="s">
        <v>308</v>
      </c>
      <c r="M77" s="36" t="s">
        <v>6</v>
      </c>
    </row>
    <row r="78" spans="1:13" x14ac:dyDescent="0.35">
      <c r="A78" s="2">
        <v>485</v>
      </c>
      <c r="B78" s="3" t="s">
        <v>232</v>
      </c>
      <c r="C78" s="23" t="s">
        <v>192</v>
      </c>
      <c r="D78" s="24"/>
      <c r="E78" s="24" t="s">
        <v>316</v>
      </c>
      <c r="F78" s="39" t="s">
        <v>324</v>
      </c>
      <c r="G78" s="36" t="str">
        <f t="shared" ca="1" si="6"/>
        <v>4 THN 1 BLN</v>
      </c>
      <c r="H78" s="35">
        <v>37358</v>
      </c>
      <c r="I78" s="36" t="str">
        <f t="shared" ca="1" si="7"/>
        <v>24 THN 4 BLN</v>
      </c>
      <c r="J78" s="59" t="s">
        <v>317</v>
      </c>
      <c r="K78" s="40" t="s">
        <v>317</v>
      </c>
      <c r="L78" s="23" t="s">
        <v>313</v>
      </c>
      <c r="M78" s="36"/>
    </row>
    <row r="79" spans="1:13" x14ac:dyDescent="0.35">
      <c r="A79" s="2">
        <v>487</v>
      </c>
      <c r="B79" s="3" t="s">
        <v>233</v>
      </c>
      <c r="C79" s="23" t="s">
        <v>88</v>
      </c>
      <c r="D79" s="24"/>
      <c r="E79" s="24" t="s">
        <v>316</v>
      </c>
      <c r="F79" s="39" t="s">
        <v>325</v>
      </c>
      <c r="G79" s="36" t="str">
        <f t="shared" ca="1" si="6"/>
        <v>4 THN 1 BLN</v>
      </c>
      <c r="H79" s="35">
        <v>37795</v>
      </c>
      <c r="I79" s="36" t="str">
        <f t="shared" ca="1" si="7"/>
        <v>23 THN 2 BLN</v>
      </c>
      <c r="J79" s="59" t="s">
        <v>317</v>
      </c>
      <c r="K79" s="40" t="s">
        <v>317</v>
      </c>
      <c r="L79" s="23" t="s">
        <v>313</v>
      </c>
      <c r="M79" s="36"/>
    </row>
    <row r="80" spans="1:13" x14ac:dyDescent="0.35">
      <c r="A80" s="2">
        <v>488</v>
      </c>
      <c r="B80" s="3" t="s">
        <v>234</v>
      </c>
      <c r="C80" s="23" t="s">
        <v>25</v>
      </c>
      <c r="D80" s="24"/>
      <c r="E80" s="24" t="s">
        <v>316</v>
      </c>
      <c r="F80" s="35">
        <v>44760</v>
      </c>
      <c r="G80" s="36" t="str">
        <f t="shared" ca="1" si="6"/>
        <v>4 THN 1 BLN</v>
      </c>
      <c r="H80" s="35">
        <v>38159</v>
      </c>
      <c r="I80" s="36" t="str">
        <f t="shared" ca="1" si="7"/>
        <v>22 THN 2 BLN</v>
      </c>
      <c r="J80" s="59" t="s">
        <v>317</v>
      </c>
      <c r="K80" s="40" t="s">
        <v>317</v>
      </c>
      <c r="L80" s="23" t="s">
        <v>309</v>
      </c>
      <c r="M80" s="36" t="s">
        <v>312</v>
      </c>
    </row>
    <row r="81" spans="1:13" x14ac:dyDescent="0.35">
      <c r="A81" s="2">
        <v>493</v>
      </c>
      <c r="B81" s="3" t="s">
        <v>235</v>
      </c>
      <c r="C81" s="23" t="s">
        <v>33</v>
      </c>
      <c r="D81" s="24"/>
      <c r="E81" s="24" t="s">
        <v>316</v>
      </c>
      <c r="F81" s="35">
        <v>44816</v>
      </c>
      <c r="G81" s="36" t="str">
        <f t="shared" ca="1" si="6"/>
        <v>3 THN 11 BLN</v>
      </c>
      <c r="H81" s="35">
        <v>38081</v>
      </c>
      <c r="I81" s="36" t="str">
        <f t="shared" ca="1" si="7"/>
        <v>22 THN 4 BLN</v>
      </c>
      <c r="J81" s="59" t="s">
        <v>317</v>
      </c>
      <c r="K81" s="40" t="s">
        <v>317</v>
      </c>
      <c r="L81" s="23" t="s">
        <v>309</v>
      </c>
      <c r="M81" s="36" t="s">
        <v>312</v>
      </c>
    </row>
    <row r="82" spans="1:13" x14ac:dyDescent="0.35">
      <c r="A82" s="2">
        <v>498</v>
      </c>
      <c r="B82" s="3" t="s">
        <v>236</v>
      </c>
      <c r="C82" s="23" t="s">
        <v>6</v>
      </c>
      <c r="D82" s="24" t="s">
        <v>192</v>
      </c>
      <c r="E82" s="24" t="s">
        <v>316</v>
      </c>
      <c r="F82" s="35">
        <v>44848</v>
      </c>
      <c r="G82" s="36" t="str">
        <f t="shared" ca="1" si="6"/>
        <v>3 THN 10 BLN</v>
      </c>
      <c r="H82" s="35">
        <v>32841</v>
      </c>
      <c r="I82" s="36" t="str">
        <f t="shared" ca="1" si="7"/>
        <v>36 THN 9 BLN</v>
      </c>
      <c r="J82" s="59" t="s">
        <v>317</v>
      </c>
      <c r="K82" s="40" t="s">
        <v>317</v>
      </c>
      <c r="L82" s="23" t="s">
        <v>308</v>
      </c>
      <c r="M82" s="36" t="s">
        <v>6</v>
      </c>
    </row>
    <row r="83" spans="1:13" x14ac:dyDescent="0.35">
      <c r="A83" s="2">
        <v>499</v>
      </c>
      <c r="B83" s="3" t="s">
        <v>237</v>
      </c>
      <c r="C83" s="23" t="s">
        <v>69</v>
      </c>
      <c r="D83" s="24"/>
      <c r="E83" s="24" t="s">
        <v>316</v>
      </c>
      <c r="F83" s="35">
        <v>44862</v>
      </c>
      <c r="G83" s="36" t="str">
        <f t="shared" ca="1" si="6"/>
        <v>3 THN 10 BLN</v>
      </c>
      <c r="H83" s="35">
        <v>37002</v>
      </c>
      <c r="I83" s="36" t="str">
        <f t="shared" ca="1" si="7"/>
        <v>25 THN 4 BLN</v>
      </c>
      <c r="J83" s="59" t="s">
        <v>317</v>
      </c>
      <c r="K83" s="40" t="s">
        <v>317</v>
      </c>
      <c r="L83" s="23" t="s">
        <v>309</v>
      </c>
      <c r="M83" s="36" t="s">
        <v>311</v>
      </c>
    </row>
    <row r="84" spans="1:13" x14ac:dyDescent="0.35">
      <c r="A84" s="2">
        <v>500</v>
      </c>
      <c r="B84" s="3" t="s">
        <v>238</v>
      </c>
      <c r="C84" s="23" t="s">
        <v>6</v>
      </c>
      <c r="D84" s="24" t="s">
        <v>192</v>
      </c>
      <c r="E84" s="24" t="s">
        <v>316</v>
      </c>
      <c r="F84" s="35">
        <v>44872</v>
      </c>
      <c r="G84" s="36" t="str">
        <f t="shared" ca="1" si="6"/>
        <v>3 THN 9 BLN</v>
      </c>
      <c r="H84" s="35">
        <v>34406</v>
      </c>
      <c r="I84" s="36" t="str">
        <f t="shared" ca="1" si="7"/>
        <v>32 THN 5 BLN</v>
      </c>
      <c r="J84" s="59" t="s">
        <v>317</v>
      </c>
      <c r="K84" s="40" t="s">
        <v>317</v>
      </c>
      <c r="L84" s="23" t="s">
        <v>313</v>
      </c>
      <c r="M84" s="36"/>
    </row>
    <row r="85" spans="1:13" x14ac:dyDescent="0.35">
      <c r="A85" s="2">
        <v>508</v>
      </c>
      <c r="B85" s="3" t="s">
        <v>239</v>
      </c>
      <c r="C85" s="23" t="s">
        <v>192</v>
      </c>
      <c r="D85" s="24"/>
      <c r="E85" s="24" t="s">
        <v>316</v>
      </c>
      <c r="F85" s="39" t="s">
        <v>326</v>
      </c>
      <c r="G85" s="36" t="str">
        <f t="shared" ca="1" si="6"/>
        <v>3 THN 8 BLN</v>
      </c>
      <c r="H85" s="35">
        <v>38255</v>
      </c>
      <c r="I85" s="36" t="str">
        <f t="shared" ca="1" si="7"/>
        <v>21 THN 11 BLN</v>
      </c>
      <c r="J85" s="59" t="s">
        <v>317</v>
      </c>
      <c r="K85" s="40" t="s">
        <v>317</v>
      </c>
      <c r="L85" s="23" t="s">
        <v>313</v>
      </c>
      <c r="M85" s="36"/>
    </row>
    <row r="86" spans="1:13" x14ac:dyDescent="0.35">
      <c r="A86" s="2">
        <v>510</v>
      </c>
      <c r="B86" s="3" t="s">
        <v>240</v>
      </c>
      <c r="C86" s="23" t="s">
        <v>6</v>
      </c>
      <c r="D86" s="24" t="s">
        <v>192</v>
      </c>
      <c r="E86" s="24" t="s">
        <v>316</v>
      </c>
      <c r="F86" s="35">
        <v>44942</v>
      </c>
      <c r="G86" s="36" t="str">
        <f t="shared" ca="1" si="6"/>
        <v>3 THN 7 BLN</v>
      </c>
      <c r="H86" s="35">
        <v>33332</v>
      </c>
      <c r="I86" s="36" t="str">
        <f t="shared" ca="1" si="7"/>
        <v>35 THN 4 BLN</v>
      </c>
      <c r="J86" s="59" t="s">
        <v>317</v>
      </c>
      <c r="K86" s="40" t="s">
        <v>317</v>
      </c>
      <c r="L86" s="23" t="s">
        <v>313</v>
      </c>
      <c r="M86" s="36"/>
    </row>
    <row r="87" spans="1:13" x14ac:dyDescent="0.35">
      <c r="A87" s="2">
        <v>513</v>
      </c>
      <c r="B87" s="3" t="s">
        <v>241</v>
      </c>
      <c r="C87" s="23" t="s">
        <v>6</v>
      </c>
      <c r="D87" s="24" t="s">
        <v>192</v>
      </c>
      <c r="E87" s="24" t="s">
        <v>316</v>
      </c>
      <c r="F87" s="35">
        <v>45056</v>
      </c>
      <c r="G87" s="36" t="str">
        <f t="shared" ca="1" si="6"/>
        <v>3 THN 3 BLN</v>
      </c>
      <c r="H87" s="35">
        <v>37298</v>
      </c>
      <c r="I87" s="36" t="str">
        <f t="shared" ca="1" si="7"/>
        <v>24 THN 6 BLN</v>
      </c>
      <c r="J87" s="59" t="s">
        <v>317</v>
      </c>
      <c r="K87" s="40" t="s">
        <v>317</v>
      </c>
      <c r="L87" s="23" t="s">
        <v>313</v>
      </c>
      <c r="M87" s="36"/>
    </row>
    <row r="88" spans="1:13" x14ac:dyDescent="0.35">
      <c r="A88" s="2">
        <v>514</v>
      </c>
      <c r="B88" s="3" t="s">
        <v>242</v>
      </c>
      <c r="C88" s="23" t="s">
        <v>34</v>
      </c>
      <c r="D88" s="24" t="s">
        <v>223</v>
      </c>
      <c r="E88" s="24" t="s">
        <v>316</v>
      </c>
      <c r="F88" s="39" t="s">
        <v>327</v>
      </c>
      <c r="G88" s="36" t="str">
        <f t="shared" ca="1" si="6"/>
        <v>3 THN 3 BLN</v>
      </c>
      <c r="H88" s="35">
        <v>38144</v>
      </c>
      <c r="I88" s="36" t="str">
        <f t="shared" ca="1" si="7"/>
        <v>22 THN 2 BLN</v>
      </c>
      <c r="J88" s="59" t="s">
        <v>317</v>
      </c>
      <c r="K88" s="40" t="s">
        <v>317</v>
      </c>
      <c r="L88" s="23" t="s">
        <v>313</v>
      </c>
      <c r="M88" s="36"/>
    </row>
    <row r="89" spans="1:13" x14ac:dyDescent="0.35">
      <c r="A89" s="2">
        <v>517</v>
      </c>
      <c r="B89" s="3" t="s">
        <v>243</v>
      </c>
      <c r="C89" s="23" t="s">
        <v>69</v>
      </c>
      <c r="D89" s="24"/>
      <c r="E89" s="24" t="s">
        <v>316</v>
      </c>
      <c r="F89" s="35">
        <v>45075</v>
      </c>
      <c r="G89" s="36" t="str">
        <f t="shared" ca="1" si="6"/>
        <v>3 THN 3 BLN</v>
      </c>
      <c r="H89" s="35">
        <v>36871</v>
      </c>
      <c r="I89" s="36" t="str">
        <f t="shared" ca="1" si="7"/>
        <v>25 THN 8 BLN</v>
      </c>
      <c r="J89" s="59" t="s">
        <v>317</v>
      </c>
      <c r="K89" s="40" t="s">
        <v>317</v>
      </c>
      <c r="L89" s="23" t="s">
        <v>309</v>
      </c>
      <c r="M89" s="36" t="s">
        <v>311</v>
      </c>
    </row>
    <row r="90" spans="1:13" x14ac:dyDescent="0.35">
      <c r="A90" s="2">
        <v>531</v>
      </c>
      <c r="B90" s="3" t="s">
        <v>244</v>
      </c>
      <c r="C90" s="23" t="s">
        <v>192</v>
      </c>
      <c r="D90" s="24"/>
      <c r="E90" s="24" t="s">
        <v>316</v>
      </c>
      <c r="F90" s="39" t="s">
        <v>328</v>
      </c>
      <c r="G90" s="36" t="str">
        <f t="shared" ca="1" si="6"/>
        <v>3 THN 2 BLN</v>
      </c>
      <c r="H90" s="35">
        <v>37918</v>
      </c>
      <c r="I90" s="36" t="str">
        <f t="shared" ca="1" si="7"/>
        <v>22 THN 10 BLN</v>
      </c>
      <c r="J90" s="59" t="s">
        <v>317</v>
      </c>
      <c r="K90" s="40" t="s">
        <v>317</v>
      </c>
      <c r="L90" s="23" t="s">
        <v>313</v>
      </c>
      <c r="M90" s="36"/>
    </row>
    <row r="91" spans="1:13" x14ac:dyDescent="0.35">
      <c r="A91" s="2">
        <v>534</v>
      </c>
      <c r="B91" s="3" t="s">
        <v>245</v>
      </c>
      <c r="C91" s="23" t="s">
        <v>34</v>
      </c>
      <c r="D91" s="24" t="s">
        <v>203</v>
      </c>
      <c r="E91" s="24" t="s">
        <v>316</v>
      </c>
      <c r="F91" s="39" t="s">
        <v>329</v>
      </c>
      <c r="G91" s="36" t="str">
        <f t="shared" ca="1" si="6"/>
        <v>3 THN 1 BLN</v>
      </c>
      <c r="H91" s="35">
        <v>38453</v>
      </c>
      <c r="I91" s="36" t="str">
        <f t="shared" ca="1" si="7"/>
        <v>21 THN 4 BLN</v>
      </c>
      <c r="J91" s="59" t="s">
        <v>317</v>
      </c>
      <c r="K91" s="40" t="s">
        <v>317</v>
      </c>
      <c r="L91" s="23" t="s">
        <v>313</v>
      </c>
      <c r="M91" s="36"/>
    </row>
    <row r="92" spans="1:13" x14ac:dyDescent="0.35">
      <c r="A92" s="2">
        <v>549</v>
      </c>
      <c r="B92" s="3" t="s">
        <v>246</v>
      </c>
      <c r="C92" s="23" t="s">
        <v>88</v>
      </c>
      <c r="D92" s="24"/>
      <c r="E92" s="24" t="s">
        <v>316</v>
      </c>
      <c r="F92" s="39" t="s">
        <v>330</v>
      </c>
      <c r="G92" s="36" t="str">
        <f t="shared" ca="1" si="6"/>
        <v>2 THN 8 BLN</v>
      </c>
      <c r="H92" s="35">
        <v>37295</v>
      </c>
      <c r="I92" s="36" t="str">
        <f t="shared" ca="1" si="7"/>
        <v>24 THN 6 BLN</v>
      </c>
      <c r="J92" s="59" t="s">
        <v>317</v>
      </c>
      <c r="K92" s="40" t="s">
        <v>317</v>
      </c>
      <c r="L92" s="23" t="s">
        <v>313</v>
      </c>
      <c r="M92" s="36"/>
    </row>
    <row r="93" spans="1:13" x14ac:dyDescent="0.35">
      <c r="A93" s="2">
        <v>551</v>
      </c>
      <c r="B93" s="3" t="s">
        <v>247</v>
      </c>
      <c r="C93" s="23" t="s">
        <v>192</v>
      </c>
      <c r="D93" s="24"/>
      <c r="E93" s="24" t="s">
        <v>316</v>
      </c>
      <c r="F93" s="39" t="s">
        <v>331</v>
      </c>
      <c r="G93" s="36" t="str">
        <f t="shared" ca="1" si="6"/>
        <v>2 THN 7 BLN</v>
      </c>
      <c r="H93" s="35">
        <v>37338</v>
      </c>
      <c r="I93" s="36" t="str">
        <f t="shared" ca="1" si="7"/>
        <v>24 THN 5 BLN</v>
      </c>
      <c r="J93" s="59" t="s">
        <v>317</v>
      </c>
      <c r="K93" s="40" t="s">
        <v>317</v>
      </c>
      <c r="L93" s="23" t="s">
        <v>313</v>
      </c>
      <c r="M93" s="36"/>
    </row>
    <row r="94" spans="1:13" x14ac:dyDescent="0.35">
      <c r="A94" s="2">
        <v>553</v>
      </c>
      <c r="B94" s="3" t="s">
        <v>248</v>
      </c>
      <c r="C94" s="23" t="s">
        <v>34</v>
      </c>
      <c r="D94" s="24" t="s">
        <v>204</v>
      </c>
      <c r="E94" s="24" t="s">
        <v>316</v>
      </c>
      <c r="F94" s="39" t="s">
        <v>332</v>
      </c>
      <c r="G94" s="36" t="str">
        <f t="shared" ca="1" si="6"/>
        <v>2 THN 6 BLN</v>
      </c>
      <c r="H94" s="35">
        <v>37565</v>
      </c>
      <c r="I94" s="36" t="str">
        <f t="shared" ca="1" si="7"/>
        <v>23 THN 9 BLN</v>
      </c>
      <c r="J94" s="59" t="s">
        <v>317</v>
      </c>
      <c r="K94" s="40" t="s">
        <v>317</v>
      </c>
      <c r="L94" s="23" t="s">
        <v>309</v>
      </c>
      <c r="M94" s="36" t="s">
        <v>312</v>
      </c>
    </row>
    <row r="95" spans="1:13" x14ac:dyDescent="0.35">
      <c r="A95" s="2">
        <v>558</v>
      </c>
      <c r="B95" s="3" t="s">
        <v>249</v>
      </c>
      <c r="C95" s="23" t="s">
        <v>33</v>
      </c>
      <c r="D95" s="24"/>
      <c r="E95" s="24" t="s">
        <v>316</v>
      </c>
      <c r="F95" s="39" t="s">
        <v>333</v>
      </c>
      <c r="G95" s="36" t="str">
        <f t="shared" ca="1" si="6"/>
        <v>2 THN 5 BLN</v>
      </c>
      <c r="H95" s="35">
        <v>33832</v>
      </c>
      <c r="I95" s="36" t="str">
        <f t="shared" ca="1" si="7"/>
        <v>34 THN 0 BLN</v>
      </c>
      <c r="J95" s="59" t="s">
        <v>317</v>
      </c>
      <c r="K95" s="40" t="s">
        <v>317</v>
      </c>
      <c r="L95" s="23" t="s">
        <v>309</v>
      </c>
      <c r="M95" s="36" t="s">
        <v>312</v>
      </c>
    </row>
    <row r="96" spans="1:13" x14ac:dyDescent="0.35">
      <c r="A96" s="2">
        <v>561</v>
      </c>
      <c r="B96" s="3" t="s">
        <v>250</v>
      </c>
      <c r="C96" s="23" t="s">
        <v>6</v>
      </c>
      <c r="D96" s="24"/>
      <c r="E96" s="24" t="s">
        <v>316</v>
      </c>
      <c r="F96" s="35">
        <v>45411</v>
      </c>
      <c r="G96" s="36" t="str">
        <f t="shared" ca="1" si="6"/>
        <v>2 THN 4 BLN</v>
      </c>
      <c r="H96" s="35">
        <v>37122</v>
      </c>
      <c r="I96" s="36" t="str">
        <f t="shared" ca="1" si="7"/>
        <v>25 THN 0 BLN</v>
      </c>
      <c r="J96" s="59" t="s">
        <v>317</v>
      </c>
      <c r="K96" s="40" t="s">
        <v>317</v>
      </c>
      <c r="L96" s="23" t="s">
        <v>313</v>
      </c>
      <c r="M96" s="36"/>
    </row>
    <row r="97" spans="1:13" x14ac:dyDescent="0.35">
      <c r="A97" s="2">
        <v>565</v>
      </c>
      <c r="B97" s="3" t="s">
        <v>251</v>
      </c>
      <c r="C97" s="23" t="s">
        <v>34</v>
      </c>
      <c r="D97" s="24" t="s">
        <v>203</v>
      </c>
      <c r="E97" s="24" t="s">
        <v>316</v>
      </c>
      <c r="F97" s="39" t="s">
        <v>334</v>
      </c>
      <c r="G97" s="36" t="str">
        <f t="shared" ca="1" si="6"/>
        <v>2 THN 3 BLN</v>
      </c>
      <c r="H97" s="35">
        <v>38755</v>
      </c>
      <c r="I97" s="36" t="str">
        <f t="shared" ca="1" si="7"/>
        <v>20 THN 6 BLN</v>
      </c>
      <c r="J97" s="59" t="s">
        <v>317</v>
      </c>
      <c r="K97" s="40" t="s">
        <v>317</v>
      </c>
      <c r="L97" s="23" t="s">
        <v>313</v>
      </c>
      <c r="M97" s="36"/>
    </row>
    <row r="98" spans="1:13" x14ac:dyDescent="0.35">
      <c r="A98" s="2">
        <v>568</v>
      </c>
      <c r="B98" s="58" t="s">
        <v>252</v>
      </c>
      <c r="C98" s="23" t="s">
        <v>34</v>
      </c>
      <c r="D98" s="24" t="s">
        <v>253</v>
      </c>
      <c r="E98" s="24" t="s">
        <v>316</v>
      </c>
      <c r="F98" s="39" t="s">
        <v>335</v>
      </c>
      <c r="G98" s="36" t="str">
        <f t="shared" ca="1" si="6"/>
        <v>2 THN 2 BLN</v>
      </c>
      <c r="H98" s="35">
        <v>38474</v>
      </c>
      <c r="I98" s="36" t="str">
        <f t="shared" ca="1" si="7"/>
        <v>21 THN 3 BLN</v>
      </c>
      <c r="J98" s="59" t="s">
        <v>317</v>
      </c>
      <c r="K98" s="40" t="s">
        <v>317</v>
      </c>
      <c r="L98" s="23" t="s">
        <v>319</v>
      </c>
      <c r="M98" s="36"/>
    </row>
    <row r="99" spans="1:13" x14ac:dyDescent="0.35">
      <c r="A99" s="2">
        <v>574</v>
      </c>
      <c r="B99" s="3" t="s">
        <v>254</v>
      </c>
      <c r="C99" s="23" t="s">
        <v>6</v>
      </c>
      <c r="D99" s="24"/>
      <c r="E99" s="24" t="s">
        <v>316</v>
      </c>
      <c r="F99" s="35">
        <v>45475</v>
      </c>
      <c r="G99" s="36" t="str">
        <f t="shared" ca="1" si="6"/>
        <v>2 THN 1 BLN</v>
      </c>
      <c r="H99" s="35">
        <v>35715</v>
      </c>
      <c r="I99" s="36" t="str">
        <f t="shared" ca="1" si="7"/>
        <v>28 THN 10 BLN</v>
      </c>
      <c r="J99" s="59" t="s">
        <v>317</v>
      </c>
      <c r="K99" s="40" t="s">
        <v>317</v>
      </c>
      <c r="L99" s="23" t="s">
        <v>313</v>
      </c>
      <c r="M99" s="36"/>
    </row>
    <row r="100" spans="1:13" x14ac:dyDescent="0.35">
      <c r="A100" s="2">
        <v>575</v>
      </c>
      <c r="B100" s="58" t="s">
        <v>255</v>
      </c>
      <c r="C100" s="23" t="s">
        <v>25</v>
      </c>
      <c r="D100" s="24"/>
      <c r="E100" s="24" t="s">
        <v>316</v>
      </c>
      <c r="F100" s="39" t="s">
        <v>336</v>
      </c>
      <c r="G100" s="36" t="str">
        <f t="shared" ca="1" si="6"/>
        <v>2 THN 1 BLN</v>
      </c>
      <c r="H100" s="35">
        <v>38029</v>
      </c>
      <c r="I100" s="36" t="str">
        <f t="shared" ca="1" si="7"/>
        <v>22 THN 6 BLN</v>
      </c>
      <c r="J100" s="59" t="s">
        <v>317</v>
      </c>
      <c r="K100" s="40" t="s">
        <v>317</v>
      </c>
      <c r="L100" s="23" t="s">
        <v>319</v>
      </c>
      <c r="M100" s="36"/>
    </row>
    <row r="101" spans="1:13" x14ac:dyDescent="0.35">
      <c r="A101" s="2">
        <v>586</v>
      </c>
      <c r="B101" s="3" t="s">
        <v>256</v>
      </c>
      <c r="C101" s="23" t="s">
        <v>34</v>
      </c>
      <c r="D101" s="24" t="s">
        <v>203</v>
      </c>
      <c r="E101" s="24" t="s">
        <v>316</v>
      </c>
      <c r="F101" s="39" t="s">
        <v>337</v>
      </c>
      <c r="G101" s="36" t="str">
        <f t="shared" ca="1" si="6"/>
        <v>2 THN 0 BLN</v>
      </c>
      <c r="H101" s="35">
        <v>37663</v>
      </c>
      <c r="I101" s="36" t="str">
        <f t="shared" ca="1" si="7"/>
        <v>23 THN 6 BLN</v>
      </c>
      <c r="J101" s="59" t="s">
        <v>317</v>
      </c>
      <c r="K101" s="40" t="s">
        <v>317</v>
      </c>
      <c r="L101" s="23" t="s">
        <v>313</v>
      </c>
      <c r="M101" s="36"/>
    </row>
    <row r="102" spans="1:13" x14ac:dyDescent="0.35">
      <c r="A102" s="2">
        <v>588</v>
      </c>
      <c r="B102" s="3" t="s">
        <v>257</v>
      </c>
      <c r="C102" s="23" t="s">
        <v>88</v>
      </c>
      <c r="D102" s="24"/>
      <c r="E102" s="24" t="s">
        <v>316</v>
      </c>
      <c r="F102" s="39" t="s">
        <v>338</v>
      </c>
      <c r="G102" s="36" t="str">
        <f t="shared" ca="1" si="6"/>
        <v>2 THN 0 BLN</v>
      </c>
      <c r="H102" s="35">
        <v>36708</v>
      </c>
      <c r="I102" s="36" t="str">
        <f t="shared" ca="1" si="7"/>
        <v>26 THN 1 BLN</v>
      </c>
      <c r="J102" s="59" t="s">
        <v>317</v>
      </c>
      <c r="K102" s="40" t="s">
        <v>317</v>
      </c>
      <c r="L102" s="23" t="s">
        <v>313</v>
      </c>
      <c r="M102" s="36"/>
    </row>
    <row r="103" spans="1:13" x14ac:dyDescent="0.35">
      <c r="A103" s="2">
        <v>589</v>
      </c>
      <c r="B103" s="3" t="s">
        <v>258</v>
      </c>
      <c r="C103" s="23" t="s">
        <v>88</v>
      </c>
      <c r="D103" s="24"/>
      <c r="E103" s="24" t="s">
        <v>316</v>
      </c>
      <c r="F103" s="39" t="s">
        <v>338</v>
      </c>
      <c r="G103" s="36" t="str">
        <f t="shared" ca="1" si="6"/>
        <v>2 THN 0 BLN</v>
      </c>
      <c r="H103" s="35">
        <v>33906</v>
      </c>
      <c r="I103" s="36" t="str">
        <f t="shared" ca="1" si="7"/>
        <v>33 THN 10 BLN</v>
      </c>
      <c r="J103" s="59" t="s">
        <v>317</v>
      </c>
      <c r="K103" s="40" t="s">
        <v>317</v>
      </c>
      <c r="L103" s="23" t="s">
        <v>313</v>
      </c>
      <c r="M103" s="36"/>
    </row>
    <row r="104" spans="1:13" x14ac:dyDescent="0.35">
      <c r="A104" s="2">
        <v>591</v>
      </c>
      <c r="B104" s="3" t="s">
        <v>259</v>
      </c>
      <c r="C104" s="23" t="s">
        <v>33</v>
      </c>
      <c r="D104" s="24"/>
      <c r="E104" s="24" t="s">
        <v>316</v>
      </c>
      <c r="F104" s="39" t="s">
        <v>339</v>
      </c>
      <c r="G104" s="36" t="str">
        <f t="shared" ca="1" si="6"/>
        <v>2 THN 0 BLN</v>
      </c>
      <c r="H104" s="35">
        <v>34131</v>
      </c>
      <c r="I104" s="36" t="str">
        <f t="shared" ca="1" si="7"/>
        <v>33 THN 2 BLN</v>
      </c>
      <c r="J104" s="59" t="s">
        <v>317</v>
      </c>
      <c r="K104" s="40" t="s">
        <v>317</v>
      </c>
      <c r="L104" s="23" t="s">
        <v>309</v>
      </c>
      <c r="M104" s="36" t="s">
        <v>312</v>
      </c>
    </row>
    <row r="105" spans="1:13" x14ac:dyDescent="0.35">
      <c r="A105" s="2">
        <v>594</v>
      </c>
      <c r="B105" s="3" t="s">
        <v>260</v>
      </c>
      <c r="C105" s="23" t="s">
        <v>199</v>
      </c>
      <c r="D105" s="24"/>
      <c r="E105" s="24" t="s">
        <v>316</v>
      </c>
      <c r="F105" s="35">
        <v>45532</v>
      </c>
      <c r="G105" s="36" t="str">
        <f t="shared" ca="1" si="6"/>
        <v>2 THN 0 BLN</v>
      </c>
      <c r="H105" s="35">
        <v>33466</v>
      </c>
      <c r="I105" s="36" t="str">
        <f t="shared" ca="1" si="7"/>
        <v>35 THN 0 BLN</v>
      </c>
      <c r="J105" s="59" t="s">
        <v>317</v>
      </c>
      <c r="K105" s="40" t="s">
        <v>317</v>
      </c>
      <c r="L105" s="23" t="s">
        <v>313</v>
      </c>
      <c r="M105" s="36"/>
    </row>
    <row r="106" spans="1:13" x14ac:dyDescent="0.35">
      <c r="A106" s="2">
        <v>595</v>
      </c>
      <c r="B106" s="3" t="s">
        <v>261</v>
      </c>
      <c r="C106" s="23" t="s">
        <v>199</v>
      </c>
      <c r="D106" s="24"/>
      <c r="E106" s="24" t="s">
        <v>316</v>
      </c>
      <c r="F106" s="35">
        <v>45532</v>
      </c>
      <c r="G106" s="36" t="str">
        <f t="shared" ca="1" si="6"/>
        <v>2 THN 0 BLN</v>
      </c>
      <c r="H106" s="35">
        <v>31422</v>
      </c>
      <c r="I106" s="36" t="str">
        <f t="shared" ca="1" si="7"/>
        <v>40 THN 7 BLN</v>
      </c>
      <c r="J106" s="59" t="s">
        <v>317</v>
      </c>
      <c r="K106" s="40" t="s">
        <v>317</v>
      </c>
      <c r="L106" s="23" t="s">
        <v>313</v>
      </c>
      <c r="M106" s="36"/>
    </row>
    <row r="107" spans="1:13" x14ac:dyDescent="0.35">
      <c r="A107" s="2">
        <v>597</v>
      </c>
      <c r="B107" s="3" t="s">
        <v>262</v>
      </c>
      <c r="C107" s="23" t="s">
        <v>34</v>
      </c>
      <c r="D107" s="24"/>
      <c r="E107" s="24" t="s">
        <v>316</v>
      </c>
      <c r="F107" s="35">
        <v>45536</v>
      </c>
      <c r="G107" s="36" t="str">
        <f t="shared" ca="1" si="6"/>
        <v>1 THN 11 BLN</v>
      </c>
      <c r="H107" s="35">
        <v>38851</v>
      </c>
      <c r="I107" s="36" t="str">
        <f t="shared" ca="1" si="7"/>
        <v>20 THN 3 BLN</v>
      </c>
      <c r="J107" s="59" t="s">
        <v>317</v>
      </c>
      <c r="K107" s="40" t="s">
        <v>317</v>
      </c>
      <c r="L107" s="23" t="s">
        <v>313</v>
      </c>
      <c r="M107" s="36"/>
    </row>
    <row r="108" spans="1:13" x14ac:dyDescent="0.35">
      <c r="A108" s="2">
        <v>598</v>
      </c>
      <c r="B108" s="58" t="s">
        <v>263</v>
      </c>
      <c r="C108" s="23" t="s">
        <v>25</v>
      </c>
      <c r="D108" s="24"/>
      <c r="E108" s="24" t="s">
        <v>316</v>
      </c>
      <c r="F108" s="35">
        <v>45536</v>
      </c>
      <c r="G108" s="36" t="str">
        <f t="shared" ca="1" si="6"/>
        <v>1 THN 11 BLN</v>
      </c>
      <c r="H108" s="35">
        <v>38770</v>
      </c>
      <c r="I108" s="36" t="str">
        <f t="shared" ca="1" si="7"/>
        <v>20 THN 6 BLN</v>
      </c>
      <c r="J108" s="59" t="s">
        <v>317</v>
      </c>
      <c r="K108" s="40" t="s">
        <v>317</v>
      </c>
      <c r="L108" s="23" t="s">
        <v>319</v>
      </c>
      <c r="M108" s="36"/>
    </row>
    <row r="109" spans="1:13" x14ac:dyDescent="0.35">
      <c r="A109" s="2">
        <v>608</v>
      </c>
      <c r="B109" s="3" t="s">
        <v>264</v>
      </c>
      <c r="C109" s="23" t="s">
        <v>25</v>
      </c>
      <c r="D109" s="24"/>
      <c r="E109" s="24" t="s">
        <v>316</v>
      </c>
      <c r="F109" s="39" t="s">
        <v>345</v>
      </c>
      <c r="G109" s="36" t="str">
        <f t="shared" ca="1" si="6"/>
        <v>1 THN 10 BLN</v>
      </c>
      <c r="H109" s="35">
        <v>36104</v>
      </c>
      <c r="I109" s="36" t="str">
        <f t="shared" ca="1" si="7"/>
        <v>27 THN 9 BLN</v>
      </c>
      <c r="J109" s="59" t="s">
        <v>317</v>
      </c>
      <c r="K109" s="40" t="s">
        <v>317</v>
      </c>
      <c r="L109" s="23" t="s">
        <v>309</v>
      </c>
      <c r="M109" s="36" t="s">
        <v>312</v>
      </c>
    </row>
    <row r="110" spans="1:13" x14ac:dyDescent="0.35">
      <c r="A110" s="2">
        <v>611</v>
      </c>
      <c r="B110" s="3" t="s">
        <v>265</v>
      </c>
      <c r="C110" s="23" t="s">
        <v>207</v>
      </c>
      <c r="D110" s="24"/>
      <c r="E110" s="24" t="s">
        <v>316</v>
      </c>
      <c r="F110" s="39" t="s">
        <v>346</v>
      </c>
      <c r="G110" s="36" t="str">
        <f t="shared" ca="1" si="6"/>
        <v>1 THN 10 BLN</v>
      </c>
      <c r="H110" s="35">
        <v>34927</v>
      </c>
      <c r="I110" s="36" t="str">
        <f t="shared" ca="1" si="7"/>
        <v>31 THN 0 BLN</v>
      </c>
      <c r="J110" s="59" t="s">
        <v>317</v>
      </c>
      <c r="K110" s="40" t="s">
        <v>317</v>
      </c>
      <c r="L110" s="23" t="s">
        <v>309</v>
      </c>
      <c r="M110" s="36" t="s">
        <v>312</v>
      </c>
    </row>
    <row r="111" spans="1:13" x14ac:dyDescent="0.35">
      <c r="A111" s="2">
        <v>614</v>
      </c>
      <c r="B111" s="3" t="s">
        <v>266</v>
      </c>
      <c r="C111" s="23" t="s">
        <v>34</v>
      </c>
      <c r="D111" s="24" t="s">
        <v>204</v>
      </c>
      <c r="E111" s="24" t="s">
        <v>316</v>
      </c>
      <c r="F111" s="39" t="s">
        <v>347</v>
      </c>
      <c r="G111" s="36" t="str">
        <f t="shared" ref="G111:G149" ca="1" si="8">DATEDIF(F111,TODAY(),"Y")&amp; " THN "&amp;DATEDIF(F111,TODAY(),"YM")&amp;" BLN"</f>
        <v>1 THN 8 BLN</v>
      </c>
      <c r="H111" s="35">
        <v>38716</v>
      </c>
      <c r="I111" s="36" t="str">
        <f t="shared" ref="I111:I149" ca="1" si="9">DATEDIF(H111,TODAY(),"Y")&amp; " THN "&amp;DATEDIF(H111,TODAY(),"YM")&amp;" BLN"</f>
        <v>20 THN 7 BLN</v>
      </c>
      <c r="J111" s="59" t="s">
        <v>317</v>
      </c>
      <c r="K111" s="40" t="s">
        <v>313</v>
      </c>
      <c r="L111" s="23" t="s">
        <v>313</v>
      </c>
      <c r="M111" s="36"/>
    </row>
    <row r="112" spans="1:13" x14ac:dyDescent="0.35">
      <c r="A112" s="2">
        <v>616</v>
      </c>
      <c r="B112" s="3" t="s">
        <v>267</v>
      </c>
      <c r="C112" s="23" t="s">
        <v>6</v>
      </c>
      <c r="D112" s="24"/>
      <c r="E112" s="24" t="s">
        <v>316</v>
      </c>
      <c r="F112" s="35">
        <v>45644</v>
      </c>
      <c r="G112" s="36" t="str">
        <f t="shared" ca="1" si="8"/>
        <v>1 THN 8 BLN</v>
      </c>
      <c r="H112" s="35">
        <v>35577</v>
      </c>
      <c r="I112" s="36" t="str">
        <f t="shared" ca="1" si="9"/>
        <v>29 THN 3 BLN</v>
      </c>
      <c r="J112" s="59" t="s">
        <v>317</v>
      </c>
      <c r="K112" s="40" t="s">
        <v>317</v>
      </c>
      <c r="L112" s="23" t="s">
        <v>313</v>
      </c>
      <c r="M112" s="36"/>
    </row>
    <row r="113" spans="1:13" x14ac:dyDescent="0.35">
      <c r="A113" s="2">
        <v>617</v>
      </c>
      <c r="B113" s="3" t="s">
        <v>268</v>
      </c>
      <c r="C113" s="23" t="s">
        <v>6</v>
      </c>
      <c r="D113" s="24"/>
      <c r="E113" s="24" t="s">
        <v>316</v>
      </c>
      <c r="F113" s="35">
        <v>45644</v>
      </c>
      <c r="G113" s="36" t="str">
        <f t="shared" ca="1" si="8"/>
        <v>1 THN 8 BLN</v>
      </c>
      <c r="H113" s="35">
        <v>38822</v>
      </c>
      <c r="I113" s="36" t="str">
        <f t="shared" ca="1" si="9"/>
        <v>20 THN 4 BLN</v>
      </c>
      <c r="J113" s="59" t="s">
        <v>317</v>
      </c>
      <c r="K113" s="40" t="s">
        <v>317</v>
      </c>
      <c r="L113" s="23" t="s">
        <v>313</v>
      </c>
      <c r="M113" s="36"/>
    </row>
    <row r="114" spans="1:13" x14ac:dyDescent="0.35">
      <c r="A114" s="2">
        <v>621</v>
      </c>
      <c r="B114" s="3" t="s">
        <v>269</v>
      </c>
      <c r="C114" s="24" t="s">
        <v>34</v>
      </c>
      <c r="D114" s="24" t="s">
        <v>208</v>
      </c>
      <c r="E114" s="24" t="s">
        <v>316</v>
      </c>
      <c r="F114" s="39" t="s">
        <v>348</v>
      </c>
      <c r="G114" s="36" t="str">
        <f t="shared" ca="1" si="8"/>
        <v>1 THN 7 BLN</v>
      </c>
      <c r="H114" s="35">
        <v>38671</v>
      </c>
      <c r="I114" s="36" t="str">
        <f t="shared" ca="1" si="9"/>
        <v>20 THN 9 BLN</v>
      </c>
      <c r="J114" s="59" t="s">
        <v>317</v>
      </c>
      <c r="K114" s="40" t="s">
        <v>317</v>
      </c>
      <c r="L114" s="23" t="s">
        <v>313</v>
      </c>
      <c r="M114" s="36"/>
    </row>
    <row r="115" spans="1:13" x14ac:dyDescent="0.35">
      <c r="A115" s="2">
        <v>622</v>
      </c>
      <c r="B115" s="3" t="s">
        <v>270</v>
      </c>
      <c r="C115" s="24" t="s">
        <v>34</v>
      </c>
      <c r="D115" s="24"/>
      <c r="E115" s="24" t="s">
        <v>316</v>
      </c>
      <c r="F115" s="35">
        <v>45924</v>
      </c>
      <c r="G115" s="36" t="str">
        <f t="shared" ca="1" si="8"/>
        <v>0 THN 11 BLN</v>
      </c>
      <c r="H115" s="47"/>
      <c r="I115" s="56" t="str">
        <f t="shared" ca="1" si="9"/>
        <v>126 THN 7 BLN</v>
      </c>
      <c r="J115" s="61" t="s">
        <v>362</v>
      </c>
      <c r="K115" s="40" t="s">
        <v>313</v>
      </c>
      <c r="L115" s="23" t="s">
        <v>313</v>
      </c>
      <c r="M115" s="36"/>
    </row>
    <row r="116" spans="1:13" x14ac:dyDescent="0.35">
      <c r="A116" s="2">
        <v>633</v>
      </c>
      <c r="B116" s="3" t="s">
        <v>271</v>
      </c>
      <c r="C116" s="23" t="s">
        <v>34</v>
      </c>
      <c r="D116" s="24"/>
      <c r="E116" s="24" t="s">
        <v>316</v>
      </c>
      <c r="F116" s="35">
        <v>45698</v>
      </c>
      <c r="G116" s="36" t="str">
        <f t="shared" ca="1" si="8"/>
        <v>1 THN 6 BLN</v>
      </c>
      <c r="H116" s="35">
        <v>36791</v>
      </c>
      <c r="I116" s="36" t="str">
        <f t="shared" ca="1" si="9"/>
        <v>25 THN 11 BLN</v>
      </c>
      <c r="J116" s="59" t="s">
        <v>317</v>
      </c>
      <c r="K116" s="40" t="s">
        <v>317</v>
      </c>
      <c r="L116" s="23" t="s">
        <v>313</v>
      </c>
      <c r="M116" s="36"/>
    </row>
    <row r="117" spans="1:13" x14ac:dyDescent="0.35">
      <c r="A117" s="2">
        <v>638</v>
      </c>
      <c r="B117" s="3" t="s">
        <v>340</v>
      </c>
      <c r="C117" s="23" t="s">
        <v>6</v>
      </c>
      <c r="D117" s="24" t="s">
        <v>192</v>
      </c>
      <c r="E117" s="24" t="s">
        <v>316</v>
      </c>
      <c r="F117" s="35">
        <v>45700</v>
      </c>
      <c r="G117" s="36" t="str">
        <f t="shared" ca="1" si="8"/>
        <v>1 THN 6 BLN</v>
      </c>
      <c r="H117" s="35">
        <v>37395</v>
      </c>
      <c r="I117" s="36" t="str">
        <f t="shared" ca="1" si="9"/>
        <v>24 THN 3 BLN</v>
      </c>
      <c r="J117" s="59" t="s">
        <v>317</v>
      </c>
      <c r="K117" s="40" t="s">
        <v>317</v>
      </c>
      <c r="L117" s="23" t="s">
        <v>313</v>
      </c>
      <c r="M117" s="36"/>
    </row>
    <row r="118" spans="1:13" x14ac:dyDescent="0.35">
      <c r="A118" s="2">
        <v>644</v>
      </c>
      <c r="B118" s="3" t="s">
        <v>272</v>
      </c>
      <c r="C118" s="23" t="s">
        <v>6</v>
      </c>
      <c r="D118" s="24" t="s">
        <v>192</v>
      </c>
      <c r="E118" s="24" t="s">
        <v>316</v>
      </c>
      <c r="F118" s="35">
        <v>45712</v>
      </c>
      <c r="G118" s="36" t="str">
        <f t="shared" ca="1" si="8"/>
        <v>1 THN 6 BLN</v>
      </c>
      <c r="H118" s="35">
        <v>33979</v>
      </c>
      <c r="I118" s="36" t="str">
        <f t="shared" ca="1" si="9"/>
        <v>33 THN 7 BLN</v>
      </c>
      <c r="J118" s="59" t="s">
        <v>317</v>
      </c>
      <c r="K118" s="40" t="s">
        <v>317</v>
      </c>
      <c r="L118" s="23" t="s">
        <v>313</v>
      </c>
      <c r="M118" s="36"/>
    </row>
    <row r="119" spans="1:13" x14ac:dyDescent="0.35">
      <c r="A119" s="2">
        <v>650</v>
      </c>
      <c r="B119" s="3" t="s">
        <v>273</v>
      </c>
      <c r="C119" s="23" t="s">
        <v>34</v>
      </c>
      <c r="D119" s="24" t="s">
        <v>223</v>
      </c>
      <c r="E119" s="24" t="s">
        <v>316</v>
      </c>
      <c r="F119" s="39" t="s">
        <v>349</v>
      </c>
      <c r="G119" s="36" t="str">
        <f t="shared" ca="1" si="8"/>
        <v>1 THN 5 BLN</v>
      </c>
      <c r="H119" s="35">
        <v>37084</v>
      </c>
      <c r="I119" s="36" t="str">
        <f t="shared" ca="1" si="9"/>
        <v>25 THN 1 BLN</v>
      </c>
      <c r="J119" s="59" t="s">
        <v>317</v>
      </c>
      <c r="K119" s="40" t="s">
        <v>317</v>
      </c>
      <c r="L119" s="23" t="s">
        <v>313</v>
      </c>
      <c r="M119" s="36"/>
    </row>
    <row r="120" spans="1:13" x14ac:dyDescent="0.35">
      <c r="A120" s="2">
        <v>655</v>
      </c>
      <c r="B120" s="3" t="s">
        <v>274</v>
      </c>
      <c r="C120" s="23" t="s">
        <v>69</v>
      </c>
      <c r="D120" s="24"/>
      <c r="E120" s="24" t="s">
        <v>316</v>
      </c>
      <c r="F120" s="39" t="s">
        <v>350</v>
      </c>
      <c r="G120" s="36" t="str">
        <f t="shared" ca="1" si="8"/>
        <v>1 THN 5 BLN</v>
      </c>
      <c r="H120" s="35">
        <v>35293</v>
      </c>
      <c r="I120" s="36" t="str">
        <f t="shared" ca="1" si="9"/>
        <v>30 THN 0 BLN</v>
      </c>
      <c r="J120" s="59" t="s">
        <v>317</v>
      </c>
      <c r="K120" s="40" t="s">
        <v>313</v>
      </c>
      <c r="L120" s="23" t="s">
        <v>309</v>
      </c>
      <c r="M120" s="36" t="s">
        <v>311</v>
      </c>
    </row>
    <row r="121" spans="1:13" x14ac:dyDescent="0.35">
      <c r="A121" s="2">
        <v>661</v>
      </c>
      <c r="B121" s="3" t="s">
        <v>275</v>
      </c>
      <c r="C121" s="23" t="s">
        <v>192</v>
      </c>
      <c r="D121" s="24"/>
      <c r="E121" s="24" t="s">
        <v>316</v>
      </c>
      <c r="F121" s="39" t="s">
        <v>351</v>
      </c>
      <c r="G121" s="36" t="str">
        <f t="shared" ca="1" si="8"/>
        <v>1 THN 3 BLN</v>
      </c>
      <c r="H121" s="35">
        <v>39028</v>
      </c>
      <c r="I121" s="36" t="str">
        <f t="shared" ca="1" si="9"/>
        <v>19 THN 9 BLN</v>
      </c>
      <c r="J121" s="59" t="s">
        <v>317</v>
      </c>
      <c r="K121" s="40" t="s">
        <v>313</v>
      </c>
      <c r="L121" s="23" t="s">
        <v>313</v>
      </c>
      <c r="M121" s="36"/>
    </row>
    <row r="122" spans="1:13" x14ac:dyDescent="0.35">
      <c r="A122" s="2">
        <v>662</v>
      </c>
      <c r="B122" s="3" t="s">
        <v>276</v>
      </c>
      <c r="C122" s="23" t="s">
        <v>192</v>
      </c>
      <c r="D122" s="24"/>
      <c r="E122" s="24" t="s">
        <v>316</v>
      </c>
      <c r="F122" s="39" t="s">
        <v>352</v>
      </c>
      <c r="G122" s="36" t="str">
        <f t="shared" ca="1" si="8"/>
        <v>1 THN 3 BLN</v>
      </c>
      <c r="H122" s="35">
        <v>36803</v>
      </c>
      <c r="I122" s="36" t="str">
        <f t="shared" ca="1" si="9"/>
        <v>25 THN 10 BLN</v>
      </c>
      <c r="J122" s="59" t="s">
        <v>317</v>
      </c>
      <c r="K122" s="40" t="s">
        <v>313</v>
      </c>
      <c r="L122" s="23" t="s">
        <v>313</v>
      </c>
      <c r="M122" s="36"/>
    </row>
    <row r="123" spans="1:13" x14ac:dyDescent="0.35">
      <c r="A123" s="12">
        <v>669</v>
      </c>
      <c r="B123" s="13" t="s">
        <v>277</v>
      </c>
      <c r="C123" s="25" t="s">
        <v>6</v>
      </c>
      <c r="D123" s="25" t="s">
        <v>36</v>
      </c>
      <c r="E123" s="24" t="s">
        <v>316</v>
      </c>
      <c r="F123" s="35">
        <v>45812</v>
      </c>
      <c r="G123" s="36" t="str">
        <f t="shared" ca="1" si="8"/>
        <v>1 THN 2 BLN</v>
      </c>
      <c r="H123" s="35">
        <v>35341</v>
      </c>
      <c r="I123" s="36" t="str">
        <f t="shared" ca="1" si="9"/>
        <v>29 THN 10 BLN</v>
      </c>
      <c r="J123" s="59" t="s">
        <v>317</v>
      </c>
      <c r="K123" s="40" t="s">
        <v>317</v>
      </c>
      <c r="L123" s="23" t="s">
        <v>313</v>
      </c>
      <c r="M123" s="36"/>
    </row>
    <row r="124" spans="1:13" x14ac:dyDescent="0.35">
      <c r="A124" s="2">
        <v>673</v>
      </c>
      <c r="B124" s="3" t="s">
        <v>278</v>
      </c>
      <c r="C124" s="23" t="s">
        <v>6</v>
      </c>
      <c r="D124" s="24"/>
      <c r="E124" s="24" t="s">
        <v>316</v>
      </c>
      <c r="F124" s="35">
        <v>45847</v>
      </c>
      <c r="G124" s="36" t="str">
        <f t="shared" ca="1" si="8"/>
        <v>1 THN 1 BLN</v>
      </c>
      <c r="H124" s="35">
        <v>33401</v>
      </c>
      <c r="I124" s="36" t="str">
        <f t="shared" ca="1" si="9"/>
        <v>35 THN 2 BLN</v>
      </c>
      <c r="J124" s="59" t="s">
        <v>317</v>
      </c>
      <c r="K124" s="40" t="s">
        <v>313</v>
      </c>
      <c r="L124" s="23" t="s">
        <v>313</v>
      </c>
      <c r="M124" s="36"/>
    </row>
    <row r="125" spans="1:13" x14ac:dyDescent="0.35">
      <c r="A125" s="2">
        <v>675</v>
      </c>
      <c r="B125" s="3" t="s">
        <v>279</v>
      </c>
      <c r="C125" s="26" t="s">
        <v>6</v>
      </c>
      <c r="D125" s="27" t="s">
        <v>206</v>
      </c>
      <c r="E125" s="24" t="s">
        <v>316</v>
      </c>
      <c r="F125" s="35">
        <v>34539</v>
      </c>
      <c r="G125" s="36" t="str">
        <f t="shared" ca="1" si="8"/>
        <v>32 THN 1 BLN</v>
      </c>
      <c r="H125" s="35">
        <v>34539</v>
      </c>
      <c r="I125" s="36" t="str">
        <f t="shared" ca="1" si="9"/>
        <v>32 THN 1 BLN</v>
      </c>
      <c r="J125" s="59" t="s">
        <v>317</v>
      </c>
      <c r="K125" s="40" t="s">
        <v>317</v>
      </c>
      <c r="L125" s="23" t="s">
        <v>313</v>
      </c>
      <c r="M125" s="36"/>
    </row>
    <row r="126" spans="1:13" x14ac:dyDescent="0.35">
      <c r="A126" s="2">
        <v>676</v>
      </c>
      <c r="B126" s="3" t="s">
        <v>280</v>
      </c>
      <c r="C126" s="26" t="s">
        <v>6</v>
      </c>
      <c r="D126" s="27"/>
      <c r="E126" s="24" t="s">
        <v>316</v>
      </c>
      <c r="F126" s="35">
        <v>45895</v>
      </c>
      <c r="G126" s="36" t="str">
        <f t="shared" ca="1" si="8"/>
        <v>1 THN 0 BLN</v>
      </c>
      <c r="H126" s="35">
        <v>34149</v>
      </c>
      <c r="I126" s="36" t="str">
        <f t="shared" ca="1" si="9"/>
        <v>33 THN 2 BLN</v>
      </c>
      <c r="J126" s="59" t="s">
        <v>317</v>
      </c>
      <c r="K126" s="40" t="s">
        <v>317</v>
      </c>
      <c r="L126" s="23" t="s">
        <v>313</v>
      </c>
      <c r="M126" s="36"/>
    </row>
    <row r="127" spans="1:13" x14ac:dyDescent="0.35">
      <c r="A127" s="2">
        <v>677</v>
      </c>
      <c r="B127" s="58" t="s">
        <v>281</v>
      </c>
      <c r="C127" s="26" t="s">
        <v>207</v>
      </c>
      <c r="D127" s="27"/>
      <c r="E127" s="24" t="s">
        <v>316</v>
      </c>
      <c r="F127" s="39" t="s">
        <v>353</v>
      </c>
      <c r="G127" s="36" t="str">
        <f t="shared" ca="1" si="8"/>
        <v>1 THN 0 BLN</v>
      </c>
      <c r="H127" s="35">
        <v>29756</v>
      </c>
      <c r="I127" s="36" t="str">
        <f t="shared" ca="1" si="9"/>
        <v>45 THN 2 BLN</v>
      </c>
      <c r="J127" s="59" t="s">
        <v>317</v>
      </c>
      <c r="K127" s="40" t="s">
        <v>313</v>
      </c>
      <c r="L127" s="23" t="s">
        <v>319</v>
      </c>
      <c r="M127" s="57" t="s">
        <v>361</v>
      </c>
    </row>
    <row r="128" spans="1:13" x14ac:dyDescent="0.35">
      <c r="A128" s="2">
        <v>678</v>
      </c>
      <c r="B128" s="3" t="s">
        <v>282</v>
      </c>
      <c r="C128" s="26" t="s">
        <v>283</v>
      </c>
      <c r="D128" s="27"/>
      <c r="E128" s="24" t="s">
        <v>316</v>
      </c>
      <c r="F128" s="35">
        <v>45901</v>
      </c>
      <c r="G128" s="36" t="str">
        <f t="shared" ca="1" si="8"/>
        <v>0 THN 11 BLN</v>
      </c>
      <c r="H128" s="40"/>
      <c r="I128" s="36" t="str">
        <f t="shared" ca="1" si="9"/>
        <v>126 THN 7 BLN</v>
      </c>
      <c r="J128" s="59" t="s">
        <v>317</v>
      </c>
      <c r="K128" s="40" t="s">
        <v>1</v>
      </c>
      <c r="L128" s="23" t="s">
        <v>1</v>
      </c>
      <c r="M128" s="36"/>
    </row>
    <row r="129" spans="1:13" x14ac:dyDescent="0.35">
      <c r="A129" s="2">
        <v>679</v>
      </c>
      <c r="B129" s="3" t="s">
        <v>284</v>
      </c>
      <c r="C129" s="26" t="s">
        <v>283</v>
      </c>
      <c r="D129" s="27"/>
      <c r="E129" s="24" t="s">
        <v>316</v>
      </c>
      <c r="F129" s="35">
        <v>45901</v>
      </c>
      <c r="G129" s="36" t="str">
        <f t="shared" ca="1" si="8"/>
        <v>0 THN 11 BLN</v>
      </c>
      <c r="H129" s="40"/>
      <c r="I129" s="36" t="str">
        <f t="shared" ca="1" si="9"/>
        <v>126 THN 7 BLN</v>
      </c>
      <c r="J129" s="59" t="s">
        <v>317</v>
      </c>
      <c r="K129" s="40" t="s">
        <v>1</v>
      </c>
      <c r="L129" s="23" t="s">
        <v>1</v>
      </c>
      <c r="M129" s="36"/>
    </row>
    <row r="130" spans="1:13" x14ac:dyDescent="0.35">
      <c r="A130" s="2">
        <v>690</v>
      </c>
      <c r="B130" s="3" t="s">
        <v>285</v>
      </c>
      <c r="C130" s="26" t="s">
        <v>283</v>
      </c>
      <c r="D130" s="27"/>
      <c r="E130" s="24" t="s">
        <v>316</v>
      </c>
      <c r="F130" s="35">
        <v>45901</v>
      </c>
      <c r="G130" s="36" t="str">
        <f t="shared" ca="1" si="8"/>
        <v>0 THN 11 BLN</v>
      </c>
      <c r="H130" s="40"/>
      <c r="I130" s="36" t="str">
        <f t="shared" ca="1" si="9"/>
        <v>126 THN 7 BLN</v>
      </c>
      <c r="J130" s="59" t="s">
        <v>317</v>
      </c>
      <c r="K130" s="40" t="s">
        <v>1</v>
      </c>
      <c r="L130" s="23" t="s">
        <v>1</v>
      </c>
      <c r="M130" s="36"/>
    </row>
    <row r="131" spans="1:13" x14ac:dyDescent="0.35">
      <c r="A131" s="2">
        <v>691</v>
      </c>
      <c r="B131" s="3" t="s">
        <v>286</v>
      </c>
      <c r="C131" s="26" t="s">
        <v>283</v>
      </c>
      <c r="D131" s="27"/>
      <c r="E131" s="24" t="s">
        <v>316</v>
      </c>
      <c r="F131" s="35">
        <v>45901</v>
      </c>
      <c r="G131" s="36" t="str">
        <f t="shared" ca="1" si="8"/>
        <v>0 THN 11 BLN</v>
      </c>
      <c r="H131" s="40"/>
      <c r="I131" s="36" t="str">
        <f t="shared" ca="1" si="9"/>
        <v>126 THN 7 BLN</v>
      </c>
      <c r="J131" s="59" t="s">
        <v>317</v>
      </c>
      <c r="K131" s="40" t="s">
        <v>1</v>
      </c>
      <c r="L131" s="23" t="s">
        <v>1</v>
      </c>
      <c r="M131" s="51"/>
    </row>
    <row r="132" spans="1:13" x14ac:dyDescent="0.35">
      <c r="A132" s="2">
        <v>692</v>
      </c>
      <c r="B132" s="3" t="s">
        <v>287</v>
      </c>
      <c r="C132" s="26" t="s">
        <v>283</v>
      </c>
      <c r="D132" s="27"/>
      <c r="E132" s="24" t="s">
        <v>316</v>
      </c>
      <c r="F132" s="35">
        <v>45901</v>
      </c>
      <c r="G132" s="36" t="str">
        <f t="shared" ca="1" si="8"/>
        <v>0 THN 11 BLN</v>
      </c>
      <c r="H132" s="40"/>
      <c r="I132" s="36" t="str">
        <f t="shared" ca="1" si="9"/>
        <v>126 THN 7 BLN</v>
      </c>
      <c r="J132" s="59" t="s">
        <v>317</v>
      </c>
      <c r="K132" s="40" t="s">
        <v>1</v>
      </c>
      <c r="L132" s="23" t="s">
        <v>1</v>
      </c>
      <c r="M132" s="51"/>
    </row>
    <row r="133" spans="1:13" hidden="1" x14ac:dyDescent="0.35">
      <c r="A133" s="2">
        <v>693</v>
      </c>
      <c r="B133" s="3" t="s">
        <v>288</v>
      </c>
      <c r="C133" s="26" t="s">
        <v>6</v>
      </c>
      <c r="D133" s="27"/>
      <c r="E133" s="24" t="s">
        <v>291</v>
      </c>
      <c r="F133" s="35">
        <v>45909</v>
      </c>
      <c r="G133" s="36" t="str">
        <f t="shared" ca="1" si="8"/>
        <v>0 THN 11 BLN</v>
      </c>
      <c r="H133" s="35">
        <v>34013</v>
      </c>
      <c r="I133" s="36" t="str">
        <f t="shared" ca="1" si="9"/>
        <v>33 THN 6 BLN</v>
      </c>
      <c r="J133" s="59" t="s">
        <v>317</v>
      </c>
      <c r="K133" s="40" t="s">
        <v>317</v>
      </c>
      <c r="L133" s="23" t="s">
        <v>313</v>
      </c>
      <c r="M133" s="51"/>
    </row>
    <row r="134" spans="1:13" x14ac:dyDescent="0.35">
      <c r="A134" s="2">
        <v>694</v>
      </c>
      <c r="B134" s="3" t="s">
        <v>289</v>
      </c>
      <c r="C134" s="26" t="s">
        <v>6</v>
      </c>
      <c r="D134" s="27"/>
      <c r="E134" s="24" t="s">
        <v>316</v>
      </c>
      <c r="F134" s="35">
        <v>45910</v>
      </c>
      <c r="G134" s="36" t="str">
        <f t="shared" ca="1" si="8"/>
        <v>0 THN 11 BLN</v>
      </c>
      <c r="H134" s="35">
        <v>34224</v>
      </c>
      <c r="I134" s="36" t="str">
        <f t="shared" ca="1" si="9"/>
        <v>32 THN 11 BLN</v>
      </c>
      <c r="J134" s="59" t="s">
        <v>317</v>
      </c>
      <c r="K134" s="40" t="s">
        <v>1</v>
      </c>
      <c r="L134" s="23" t="s">
        <v>313</v>
      </c>
      <c r="M134" s="51"/>
    </row>
    <row r="135" spans="1:13" hidden="1" x14ac:dyDescent="0.35">
      <c r="A135" s="2">
        <v>695</v>
      </c>
      <c r="B135" s="3" t="s">
        <v>290</v>
      </c>
      <c r="C135" s="26" t="s">
        <v>291</v>
      </c>
      <c r="D135" s="27"/>
      <c r="E135" s="24" t="s">
        <v>291</v>
      </c>
      <c r="F135" s="41"/>
      <c r="G135" s="42"/>
      <c r="H135" s="41"/>
      <c r="I135" s="42"/>
      <c r="J135" s="62"/>
      <c r="K135" s="41"/>
      <c r="L135" s="29"/>
      <c r="M135" s="52"/>
    </row>
    <row r="136" spans="1:13" x14ac:dyDescent="0.35">
      <c r="A136" s="2">
        <v>696</v>
      </c>
      <c r="B136" s="3" t="s">
        <v>292</v>
      </c>
      <c r="C136" s="26" t="s">
        <v>34</v>
      </c>
      <c r="D136" s="27" t="s">
        <v>293</v>
      </c>
      <c r="E136" s="24" t="s">
        <v>316</v>
      </c>
      <c r="F136" s="39" t="s">
        <v>354</v>
      </c>
      <c r="G136" s="36" t="str">
        <f t="shared" ca="1" si="8"/>
        <v>0 THN 11 BLN</v>
      </c>
      <c r="H136" s="35">
        <v>34179</v>
      </c>
      <c r="I136" s="36" t="str">
        <f t="shared" ca="1" si="9"/>
        <v>33 THN 1 BLN</v>
      </c>
      <c r="J136" s="59" t="s">
        <v>317</v>
      </c>
      <c r="K136" s="40" t="s">
        <v>313</v>
      </c>
      <c r="L136" s="23" t="s">
        <v>313</v>
      </c>
      <c r="M136" s="51"/>
    </row>
    <row r="137" spans="1:13" x14ac:dyDescent="0.35">
      <c r="A137" s="2">
        <v>697</v>
      </c>
      <c r="B137" s="3" t="s">
        <v>294</v>
      </c>
      <c r="C137" s="23" t="s">
        <v>6</v>
      </c>
      <c r="D137" s="24" t="s">
        <v>192</v>
      </c>
      <c r="E137" s="24" t="s">
        <v>316</v>
      </c>
      <c r="F137" s="35">
        <v>45915</v>
      </c>
      <c r="G137" s="36" t="str">
        <f t="shared" ca="1" si="8"/>
        <v>0 THN 11 BLN</v>
      </c>
      <c r="H137" s="35">
        <v>37271</v>
      </c>
      <c r="I137" s="36" t="str">
        <f t="shared" ca="1" si="9"/>
        <v>24 THN 7 BLN</v>
      </c>
      <c r="J137" s="59" t="s">
        <v>317</v>
      </c>
      <c r="K137" s="40" t="s">
        <v>317</v>
      </c>
      <c r="L137" s="23" t="s">
        <v>313</v>
      </c>
      <c r="M137" s="51"/>
    </row>
    <row r="138" spans="1:13" x14ac:dyDescent="0.35">
      <c r="A138" s="2">
        <v>698</v>
      </c>
      <c r="B138" s="3" t="s">
        <v>295</v>
      </c>
      <c r="C138" s="23" t="s">
        <v>88</v>
      </c>
      <c r="D138" s="24"/>
      <c r="E138" s="24" t="s">
        <v>316</v>
      </c>
      <c r="F138" s="39" t="s">
        <v>355</v>
      </c>
      <c r="G138" s="36" t="str">
        <f t="shared" ca="1" si="8"/>
        <v>0 THN 11 BLN</v>
      </c>
      <c r="H138" s="35">
        <v>35394</v>
      </c>
      <c r="I138" s="36" t="str">
        <f t="shared" ca="1" si="9"/>
        <v>29 THN 9 BLN</v>
      </c>
      <c r="J138" s="59" t="s">
        <v>317</v>
      </c>
      <c r="K138" s="40" t="s">
        <v>313</v>
      </c>
      <c r="L138" s="23" t="s">
        <v>313</v>
      </c>
      <c r="M138" s="51"/>
    </row>
    <row r="139" spans="1:13" hidden="1" x14ac:dyDescent="0.35">
      <c r="A139" s="2">
        <v>699</v>
      </c>
      <c r="B139" s="3" t="s">
        <v>296</v>
      </c>
      <c r="C139" s="23" t="s">
        <v>88</v>
      </c>
      <c r="D139" s="24"/>
      <c r="E139" s="24" t="s">
        <v>291</v>
      </c>
      <c r="F139" s="39" t="s">
        <v>355</v>
      </c>
      <c r="G139" s="36" t="str">
        <f t="shared" ca="1" si="8"/>
        <v>0 THN 11 BLN</v>
      </c>
      <c r="H139" s="35">
        <v>37277</v>
      </c>
      <c r="I139" s="36" t="str">
        <f t="shared" ca="1" si="9"/>
        <v>24 THN 7 BLN</v>
      </c>
      <c r="J139" s="59" t="s">
        <v>317</v>
      </c>
      <c r="K139" s="40" t="s">
        <v>313</v>
      </c>
      <c r="L139" s="23" t="s">
        <v>313</v>
      </c>
      <c r="M139" s="51"/>
    </row>
    <row r="140" spans="1:13" hidden="1" x14ac:dyDescent="0.35">
      <c r="A140" s="2">
        <v>700</v>
      </c>
      <c r="B140" s="3" t="s">
        <v>297</v>
      </c>
      <c r="C140" s="23" t="s">
        <v>291</v>
      </c>
      <c r="D140" s="24"/>
      <c r="E140" s="24" t="s">
        <v>291</v>
      </c>
      <c r="F140" s="41"/>
      <c r="G140" s="42"/>
      <c r="H140" s="41"/>
      <c r="I140" s="42"/>
      <c r="J140" s="62"/>
      <c r="K140" s="41"/>
      <c r="L140" s="29"/>
      <c r="M140" s="52"/>
    </row>
    <row r="141" spans="1:13" x14ac:dyDescent="0.35">
      <c r="A141" s="2">
        <v>701</v>
      </c>
      <c r="B141" s="3" t="s">
        <v>298</v>
      </c>
      <c r="C141" s="23" t="s">
        <v>34</v>
      </c>
      <c r="D141" s="24" t="s">
        <v>293</v>
      </c>
      <c r="E141" s="24" t="s">
        <v>316</v>
      </c>
      <c r="F141" s="39" t="s">
        <v>356</v>
      </c>
      <c r="G141" s="36" t="str">
        <f t="shared" ca="1" si="8"/>
        <v>0 THN 11 BLN</v>
      </c>
      <c r="H141" s="35">
        <v>37880</v>
      </c>
      <c r="I141" s="36" t="str">
        <f t="shared" ca="1" si="9"/>
        <v>22 THN 11 BLN</v>
      </c>
      <c r="J141" s="59" t="s">
        <v>317</v>
      </c>
      <c r="K141" s="40" t="s">
        <v>313</v>
      </c>
      <c r="L141" s="23" t="s">
        <v>313</v>
      </c>
      <c r="M141" s="51"/>
    </row>
    <row r="142" spans="1:13" x14ac:dyDescent="0.35">
      <c r="A142" s="2">
        <v>702</v>
      </c>
      <c r="B142" s="58" t="s">
        <v>299</v>
      </c>
      <c r="C142" s="23" t="s">
        <v>25</v>
      </c>
      <c r="D142" s="24"/>
      <c r="E142" s="24" t="s">
        <v>316</v>
      </c>
      <c r="F142" s="39" t="s">
        <v>357</v>
      </c>
      <c r="G142" s="36" t="str">
        <f t="shared" ca="1" si="8"/>
        <v>0 THN 11 BLN</v>
      </c>
      <c r="H142" s="35">
        <v>36864</v>
      </c>
      <c r="I142" s="36" t="str">
        <f t="shared" ca="1" si="9"/>
        <v>25 THN 8 BLN</v>
      </c>
      <c r="J142" s="59" t="s">
        <v>317</v>
      </c>
      <c r="K142" s="40" t="s">
        <v>313</v>
      </c>
      <c r="L142" s="23" t="s">
        <v>319</v>
      </c>
      <c r="M142" s="57" t="s">
        <v>360</v>
      </c>
    </row>
    <row r="143" spans="1:13" hidden="1" x14ac:dyDescent="0.35">
      <c r="A143" s="2">
        <v>703</v>
      </c>
      <c r="B143" s="3" t="s">
        <v>300</v>
      </c>
      <c r="C143" s="23" t="s">
        <v>291</v>
      </c>
      <c r="D143" s="24"/>
      <c r="E143" s="24" t="s">
        <v>291</v>
      </c>
      <c r="F143" s="41"/>
      <c r="G143" s="42"/>
      <c r="H143" s="41"/>
      <c r="I143" s="42"/>
      <c r="J143" s="62"/>
      <c r="K143" s="41"/>
      <c r="L143" s="29"/>
      <c r="M143" s="52"/>
    </row>
    <row r="144" spans="1:13" hidden="1" x14ac:dyDescent="0.35">
      <c r="A144" s="2">
        <v>704</v>
      </c>
      <c r="B144" s="3" t="s">
        <v>301</v>
      </c>
      <c r="C144" s="23" t="s">
        <v>291</v>
      </c>
      <c r="D144" s="24"/>
      <c r="E144" s="24" t="s">
        <v>291</v>
      </c>
      <c r="F144" s="41"/>
      <c r="G144" s="42"/>
      <c r="H144" s="41"/>
      <c r="I144" s="42"/>
      <c r="J144" s="62"/>
      <c r="K144" s="41"/>
      <c r="L144" s="29"/>
      <c r="M144" s="52"/>
    </row>
    <row r="145" spans="1:14" x14ac:dyDescent="0.35">
      <c r="A145" s="2">
        <v>705</v>
      </c>
      <c r="B145" s="3" t="s">
        <v>302</v>
      </c>
      <c r="C145" s="23" t="s">
        <v>34</v>
      </c>
      <c r="D145" s="24" t="s">
        <v>223</v>
      </c>
      <c r="E145" s="24" t="s">
        <v>316</v>
      </c>
      <c r="F145" s="39" t="s">
        <v>358</v>
      </c>
      <c r="G145" s="36" t="str">
        <f t="shared" ca="1" si="8"/>
        <v>0 THN 11 BLN</v>
      </c>
      <c r="H145" s="35">
        <v>36415</v>
      </c>
      <c r="I145" s="36" t="str">
        <f t="shared" ca="1" si="9"/>
        <v>26 THN 11 BLN</v>
      </c>
      <c r="J145" s="59" t="s">
        <v>317</v>
      </c>
      <c r="K145" s="40" t="s">
        <v>313</v>
      </c>
      <c r="L145" s="23" t="s">
        <v>313</v>
      </c>
      <c r="M145" s="51"/>
    </row>
    <row r="146" spans="1:14" x14ac:dyDescent="0.35">
      <c r="A146" s="2">
        <v>706</v>
      </c>
      <c r="B146" s="3" t="s">
        <v>303</v>
      </c>
      <c r="C146" s="23" t="s">
        <v>34</v>
      </c>
      <c r="D146" s="24" t="s">
        <v>293</v>
      </c>
      <c r="E146" s="24" t="s">
        <v>316</v>
      </c>
      <c r="F146" s="39" t="s">
        <v>359</v>
      </c>
      <c r="G146" s="36" t="str">
        <f t="shared" ca="1" si="8"/>
        <v>0 THN 11 BLN</v>
      </c>
      <c r="H146" s="35">
        <v>35478</v>
      </c>
      <c r="I146" s="36" t="str">
        <f t="shared" ca="1" si="9"/>
        <v>29 THN 6 BLN</v>
      </c>
      <c r="J146" s="59" t="s">
        <v>317</v>
      </c>
      <c r="K146" s="40" t="s">
        <v>313</v>
      </c>
      <c r="L146" s="23" t="s">
        <v>313</v>
      </c>
      <c r="M146" s="51"/>
    </row>
    <row r="147" spans="1:14" x14ac:dyDescent="0.35">
      <c r="A147" s="2">
        <v>707</v>
      </c>
      <c r="B147" s="3" t="s">
        <v>304</v>
      </c>
      <c r="C147" s="23" t="s">
        <v>34</v>
      </c>
      <c r="D147" s="24" t="s">
        <v>293</v>
      </c>
      <c r="E147" s="24" t="s">
        <v>316</v>
      </c>
      <c r="F147" s="39" t="s">
        <v>359</v>
      </c>
      <c r="G147" s="36" t="str">
        <f t="shared" ca="1" si="8"/>
        <v>0 THN 11 BLN</v>
      </c>
      <c r="H147" s="35">
        <v>36969</v>
      </c>
      <c r="I147" s="36" t="str">
        <f t="shared" ca="1" si="9"/>
        <v>25 THN 5 BLN</v>
      </c>
      <c r="J147" s="59" t="s">
        <v>317</v>
      </c>
      <c r="K147" s="40" t="s">
        <v>313</v>
      </c>
      <c r="L147" s="23" t="s">
        <v>313</v>
      </c>
      <c r="M147" s="51"/>
    </row>
    <row r="148" spans="1:14" ht="15" thickBot="1" x14ac:dyDescent="0.4">
      <c r="A148" s="2">
        <v>708</v>
      </c>
      <c r="B148" s="58" t="s">
        <v>305</v>
      </c>
      <c r="C148" s="23" t="s">
        <v>6</v>
      </c>
      <c r="D148" s="24"/>
      <c r="E148" s="24" t="s">
        <v>316</v>
      </c>
      <c r="F148" s="43">
        <v>45931</v>
      </c>
      <c r="G148" s="44" t="str">
        <f t="shared" ca="1" si="8"/>
        <v>0 THN 10 BLN</v>
      </c>
      <c r="H148" s="43">
        <v>36505</v>
      </c>
      <c r="I148" s="44" t="str">
        <f t="shared" ca="1" si="9"/>
        <v>26 THN 8 BLN</v>
      </c>
      <c r="J148" s="63" t="s">
        <v>317</v>
      </c>
      <c r="K148" s="53" t="s">
        <v>317</v>
      </c>
      <c r="L148" s="54" t="s">
        <v>319</v>
      </c>
      <c r="M148" s="55"/>
    </row>
    <row r="149" spans="1:14" x14ac:dyDescent="0.35">
      <c r="A149" s="2">
        <v>709</v>
      </c>
      <c r="B149" s="3" t="s">
        <v>364</v>
      </c>
      <c r="C149" s="23" t="s">
        <v>6</v>
      </c>
      <c r="D149" s="24" t="s">
        <v>150</v>
      </c>
      <c r="E149" s="24" t="s">
        <v>316</v>
      </c>
      <c r="F149" s="39">
        <v>46013</v>
      </c>
      <c r="G149" s="36" t="str">
        <f t="shared" ca="1" si="8"/>
        <v>0 THN 8 BLN</v>
      </c>
      <c r="H149" s="35">
        <v>36778</v>
      </c>
      <c r="I149" s="36" t="str">
        <f t="shared" ca="1" si="9"/>
        <v>25 THN 11 BLN</v>
      </c>
      <c r="J149" s="64" t="s">
        <v>378</v>
      </c>
      <c r="K149" s="59" t="s">
        <v>317</v>
      </c>
      <c r="L149" s="23" t="s">
        <v>317</v>
      </c>
      <c r="M149" s="23" t="s">
        <v>313</v>
      </c>
      <c r="N149" s="51"/>
    </row>
  </sheetData>
  <autoFilter ref="A2:M149" xr:uid="{2A6C5FF2-626E-4BF5-83CB-3F0D15C7A020}">
    <filterColumn colId="4">
      <filters>
        <filter val="AKTIF"/>
      </filters>
    </filterColumn>
  </autoFilter>
  <mergeCells count="7">
    <mergeCell ref="K1:M1"/>
    <mergeCell ref="B1:B2"/>
    <mergeCell ref="A1:A2"/>
    <mergeCell ref="C1:E1"/>
    <mergeCell ref="F1:G1"/>
    <mergeCell ref="H1:I1"/>
    <mergeCell ref="J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B62E-FBE6-42D8-8600-635262BC578F}">
  <dimension ref="A1:M154"/>
  <sheetViews>
    <sheetView zoomScale="86" zoomScaleNormal="86" workbookViewId="0">
      <pane xSplit="4" ySplit="2" topLeftCell="E3" activePane="bottomRight" state="frozen"/>
      <selection pane="topRight" activeCell="E1" sqref="E1"/>
      <selection pane="bottomLeft" activeCell="A2" sqref="A2"/>
      <selection pane="bottomRight" activeCell="B27" sqref="B27"/>
    </sheetView>
  </sheetViews>
  <sheetFormatPr defaultRowHeight="14.5" x14ac:dyDescent="0.35"/>
  <cols>
    <col min="1" max="1" width="5.6328125" style="1" customWidth="1"/>
    <col min="2" max="2" width="32.36328125" style="1" customWidth="1"/>
    <col min="3" max="3" width="8.7265625" style="1"/>
    <col min="4" max="4" width="9.90625" style="1" customWidth="1"/>
    <col min="5" max="5" width="8.7265625" style="1"/>
    <col min="6" max="6" width="11.54296875" style="5" bestFit="1" customWidth="1"/>
    <col min="7" max="7" width="10.453125" style="5" bestFit="1" customWidth="1"/>
    <col min="8" max="8" width="9.54296875" style="5" bestFit="1" customWidth="1"/>
    <col min="9" max="9" width="11" style="5" bestFit="1" customWidth="1"/>
    <col min="10" max="10" width="11" style="5" customWidth="1"/>
    <col min="11" max="12" width="8.7265625" style="5"/>
    <col min="13" max="13" width="30" style="5" customWidth="1"/>
    <col min="14" max="16384" width="8.7265625" style="1"/>
  </cols>
  <sheetData>
    <row r="1" spans="1:13" x14ac:dyDescent="0.35">
      <c r="A1" s="75" t="s">
        <v>2</v>
      </c>
      <c r="B1" s="77" t="s">
        <v>3</v>
      </c>
      <c r="C1" s="79" t="s">
        <v>341</v>
      </c>
      <c r="D1" s="79"/>
      <c r="E1" s="79"/>
      <c r="F1" s="80" t="s">
        <v>81</v>
      </c>
      <c r="G1" s="81"/>
      <c r="H1" s="87" t="s">
        <v>343</v>
      </c>
      <c r="I1" s="88"/>
      <c r="J1" s="85" t="s">
        <v>363</v>
      </c>
      <c r="K1" s="72" t="s">
        <v>344</v>
      </c>
      <c r="L1" s="73"/>
      <c r="M1" s="74"/>
    </row>
    <row r="2" spans="1:13" x14ac:dyDescent="0.35">
      <c r="A2" s="76"/>
      <c r="B2" s="78"/>
      <c r="C2" s="30" t="s">
        <v>0</v>
      </c>
      <c r="D2" s="31" t="s">
        <v>5</v>
      </c>
      <c r="E2" s="32" t="s">
        <v>315</v>
      </c>
      <c r="F2" s="33" t="s">
        <v>4</v>
      </c>
      <c r="G2" s="34" t="s">
        <v>342</v>
      </c>
      <c r="H2" s="45" t="s">
        <v>108</v>
      </c>
      <c r="I2" s="46" t="s">
        <v>109</v>
      </c>
      <c r="J2" s="89"/>
      <c r="K2" s="49" t="s">
        <v>306</v>
      </c>
      <c r="L2" s="48" t="s">
        <v>307</v>
      </c>
      <c r="M2" s="50" t="s">
        <v>105</v>
      </c>
    </row>
    <row r="3" spans="1:13" x14ac:dyDescent="0.35">
      <c r="A3" s="2">
        <v>3</v>
      </c>
      <c r="B3" s="3" t="s">
        <v>61</v>
      </c>
      <c r="C3" s="23" t="s">
        <v>6</v>
      </c>
      <c r="D3" s="24" t="s">
        <v>189</v>
      </c>
      <c r="E3" s="24" t="s">
        <v>316</v>
      </c>
      <c r="F3" s="35">
        <v>35846</v>
      </c>
      <c r="G3" s="36" t="str">
        <f t="shared" ref="G3:G19" ca="1" si="0">DATEDIF(F3,TODAY(),"Y")&amp; " THN "&amp;DATEDIF(F3,TODAY(),"YM")&amp;" BLN"</f>
        <v>28 THN 6 BLN</v>
      </c>
      <c r="H3" s="35">
        <v>27161</v>
      </c>
      <c r="I3" s="36" t="str">
        <f t="shared" ref="I3:I19" ca="1" si="1">DATEDIF(H3,TODAY(),"Y")&amp; " THN "&amp;DATEDIF(H3,TODAY(),"YM")&amp;" BLN"</f>
        <v>52 THN 3 BLN</v>
      </c>
      <c r="J3" s="59" t="s">
        <v>362</v>
      </c>
      <c r="K3" s="40" t="s">
        <v>1</v>
      </c>
      <c r="L3" s="23" t="s">
        <v>308</v>
      </c>
      <c r="M3" s="36" t="s">
        <v>6</v>
      </c>
    </row>
    <row r="4" spans="1:13" x14ac:dyDescent="0.35">
      <c r="A4" s="2">
        <v>4</v>
      </c>
      <c r="B4" s="3" t="s">
        <v>29</v>
      </c>
      <c r="C4" s="23" t="s">
        <v>25</v>
      </c>
      <c r="D4" s="24"/>
      <c r="E4" s="24" t="s">
        <v>316</v>
      </c>
      <c r="F4" s="35">
        <v>38458</v>
      </c>
      <c r="G4" s="36" t="str">
        <f t="shared" ca="1" si="0"/>
        <v>21 THN 4 BLN</v>
      </c>
      <c r="H4" s="35">
        <v>30050</v>
      </c>
      <c r="I4" s="36" t="str">
        <f t="shared" ca="1" si="1"/>
        <v>44 THN 4 BLN</v>
      </c>
      <c r="J4" s="59" t="s">
        <v>362</v>
      </c>
      <c r="K4" s="40" t="s">
        <v>1</v>
      </c>
      <c r="L4" s="23" t="s">
        <v>309</v>
      </c>
      <c r="M4" s="36" t="s">
        <v>312</v>
      </c>
    </row>
    <row r="5" spans="1:13" x14ac:dyDescent="0.35">
      <c r="A5" s="2">
        <v>5</v>
      </c>
      <c r="B5" s="3" t="s">
        <v>22</v>
      </c>
      <c r="C5" s="23" t="s">
        <v>82</v>
      </c>
      <c r="D5" s="24"/>
      <c r="E5" s="24" t="s">
        <v>316</v>
      </c>
      <c r="F5" s="35">
        <v>38568</v>
      </c>
      <c r="G5" s="36" t="str">
        <f t="shared" ca="1" si="0"/>
        <v>21 THN 0 BLN</v>
      </c>
      <c r="H5" s="35">
        <v>26169</v>
      </c>
      <c r="I5" s="36" t="str">
        <f t="shared" ca="1" si="1"/>
        <v>55 THN 0 BLN</v>
      </c>
      <c r="J5" s="59" t="s">
        <v>362</v>
      </c>
      <c r="K5" s="40" t="s">
        <v>1</v>
      </c>
      <c r="L5" s="23" t="s">
        <v>309</v>
      </c>
      <c r="M5" s="36" t="s">
        <v>109</v>
      </c>
    </row>
    <row r="6" spans="1:13" x14ac:dyDescent="0.35">
      <c r="A6" s="2">
        <v>7</v>
      </c>
      <c r="B6" s="3" t="s">
        <v>21</v>
      </c>
      <c r="C6" s="23" t="s">
        <v>6</v>
      </c>
      <c r="D6" s="24"/>
      <c r="E6" s="24" t="s">
        <v>316</v>
      </c>
      <c r="F6" s="35">
        <v>41276</v>
      </c>
      <c r="G6" s="36" t="str">
        <f t="shared" ca="1" si="0"/>
        <v>13 THN 7 BLN</v>
      </c>
      <c r="H6" s="35">
        <v>32084</v>
      </c>
      <c r="I6" s="36" t="str">
        <f t="shared" ca="1" si="1"/>
        <v>38 THN 9 BLN</v>
      </c>
      <c r="J6" s="59" t="s">
        <v>362</v>
      </c>
      <c r="K6" s="40" t="s">
        <v>1</v>
      </c>
      <c r="L6" s="23" t="s">
        <v>1</v>
      </c>
      <c r="M6" s="36" t="s">
        <v>310</v>
      </c>
    </row>
    <row r="7" spans="1:13" x14ac:dyDescent="0.35">
      <c r="A7" s="2">
        <v>10</v>
      </c>
      <c r="B7" s="3" t="s">
        <v>190</v>
      </c>
      <c r="C7" s="23" t="s">
        <v>77</v>
      </c>
      <c r="D7" s="24" t="s">
        <v>191</v>
      </c>
      <c r="E7" s="24" t="s">
        <v>316</v>
      </c>
      <c r="F7" s="35">
        <v>40463</v>
      </c>
      <c r="G7" s="36" t="str">
        <f t="shared" ca="1" si="0"/>
        <v>15 THN 10 BLN</v>
      </c>
      <c r="H7" s="35">
        <v>28361</v>
      </c>
      <c r="I7" s="36" t="str">
        <f t="shared" ca="1" si="1"/>
        <v>49 THN 0 BLN</v>
      </c>
      <c r="J7" s="59" t="s">
        <v>362</v>
      </c>
      <c r="K7" s="40" t="s">
        <v>1</v>
      </c>
      <c r="L7" s="23" t="s">
        <v>309</v>
      </c>
      <c r="M7" s="36" t="s">
        <v>311</v>
      </c>
    </row>
    <row r="8" spans="1:13" x14ac:dyDescent="0.35">
      <c r="A8" s="2">
        <v>11</v>
      </c>
      <c r="B8" s="3" t="s">
        <v>32</v>
      </c>
      <c r="C8" s="23" t="s">
        <v>25</v>
      </c>
      <c r="D8" s="24"/>
      <c r="E8" s="24" t="s">
        <v>316</v>
      </c>
      <c r="F8" s="35">
        <v>41918</v>
      </c>
      <c r="G8" s="36" t="str">
        <f t="shared" ca="1" si="0"/>
        <v>11 THN 10 BLN</v>
      </c>
      <c r="H8" s="35">
        <v>31373</v>
      </c>
      <c r="I8" s="36" t="str">
        <f t="shared" ca="1" si="1"/>
        <v>40 THN 9 BLN</v>
      </c>
      <c r="J8" s="59" t="s">
        <v>362</v>
      </c>
      <c r="K8" s="40" t="s">
        <v>1</v>
      </c>
      <c r="L8" s="23" t="s">
        <v>309</v>
      </c>
      <c r="M8" s="36" t="s">
        <v>312</v>
      </c>
    </row>
    <row r="9" spans="1:13" x14ac:dyDescent="0.35">
      <c r="A9" s="2">
        <v>12</v>
      </c>
      <c r="B9" s="3" t="s">
        <v>19</v>
      </c>
      <c r="C9" s="23" t="s">
        <v>192</v>
      </c>
      <c r="D9" s="24" t="s">
        <v>77</v>
      </c>
      <c r="E9" s="24" t="s">
        <v>316</v>
      </c>
      <c r="F9" s="35">
        <v>41288</v>
      </c>
      <c r="G9" s="36" t="str">
        <f t="shared" ca="1" si="0"/>
        <v>13 THN 7 BLN</v>
      </c>
      <c r="H9" s="35">
        <v>30153</v>
      </c>
      <c r="I9" s="36" t="str">
        <f t="shared" ca="1" si="1"/>
        <v>44 THN 1 BLN</v>
      </c>
      <c r="J9" s="59" t="s">
        <v>362</v>
      </c>
      <c r="K9" s="40" t="s">
        <v>1</v>
      </c>
      <c r="L9" s="23" t="s">
        <v>309</v>
      </c>
      <c r="M9" s="36" t="s">
        <v>311</v>
      </c>
    </row>
    <row r="10" spans="1:13" x14ac:dyDescent="0.35">
      <c r="A10" s="2">
        <v>17</v>
      </c>
      <c r="B10" s="3" t="s">
        <v>47</v>
      </c>
      <c r="C10" s="23" t="s">
        <v>34</v>
      </c>
      <c r="D10" s="24" t="s">
        <v>193</v>
      </c>
      <c r="E10" s="24" t="s">
        <v>316</v>
      </c>
      <c r="F10" s="35">
        <v>41539</v>
      </c>
      <c r="G10" s="36" t="str">
        <f t="shared" ca="1" si="0"/>
        <v>12 THN 11 BLN</v>
      </c>
      <c r="H10" s="35">
        <v>33806</v>
      </c>
      <c r="I10" s="36" t="str">
        <f t="shared" ca="1" si="1"/>
        <v>34 THN 1 BLN</v>
      </c>
      <c r="J10" s="59" t="s">
        <v>362</v>
      </c>
      <c r="K10" s="40" t="s">
        <v>1</v>
      </c>
      <c r="L10" s="23" t="s">
        <v>309</v>
      </c>
      <c r="M10" s="36" t="s">
        <v>312</v>
      </c>
    </row>
    <row r="11" spans="1:13" x14ac:dyDescent="0.35">
      <c r="A11" s="2">
        <v>18</v>
      </c>
      <c r="B11" s="3" t="s">
        <v>31</v>
      </c>
      <c r="C11" s="23" t="s">
        <v>25</v>
      </c>
      <c r="D11" s="24"/>
      <c r="E11" s="24" t="s">
        <v>316</v>
      </c>
      <c r="F11" s="35">
        <v>38605</v>
      </c>
      <c r="G11" s="36" t="str">
        <f t="shared" ca="1" si="0"/>
        <v>20 THN 11 BLN</v>
      </c>
      <c r="H11" s="35">
        <v>30630</v>
      </c>
      <c r="I11" s="36" t="str">
        <f t="shared" ca="1" si="1"/>
        <v>42 THN 9 BLN</v>
      </c>
      <c r="J11" s="59" t="s">
        <v>362</v>
      </c>
      <c r="K11" s="40" t="s">
        <v>1</v>
      </c>
      <c r="L11" s="23" t="s">
        <v>309</v>
      </c>
      <c r="M11" s="36" t="s">
        <v>312</v>
      </c>
    </row>
    <row r="12" spans="1:13" x14ac:dyDescent="0.35">
      <c r="A12" s="2">
        <v>23</v>
      </c>
      <c r="B12" s="3" t="s">
        <v>40</v>
      </c>
      <c r="C12" s="23" t="s">
        <v>77</v>
      </c>
      <c r="D12" s="24" t="s">
        <v>191</v>
      </c>
      <c r="E12" s="24" t="s">
        <v>316</v>
      </c>
      <c r="F12" s="35">
        <v>36661</v>
      </c>
      <c r="G12" s="36" t="str">
        <f t="shared" ca="1" si="0"/>
        <v>26 THN 3 BLN</v>
      </c>
      <c r="H12" s="35">
        <v>27121</v>
      </c>
      <c r="I12" s="36" t="str">
        <f t="shared" ca="1" si="1"/>
        <v>52 THN 4 BLN</v>
      </c>
      <c r="J12" s="59" t="s">
        <v>362</v>
      </c>
      <c r="K12" s="40" t="s">
        <v>1</v>
      </c>
      <c r="L12" s="23" t="s">
        <v>309</v>
      </c>
      <c r="M12" s="36" t="s">
        <v>109</v>
      </c>
    </row>
    <row r="13" spans="1:13" x14ac:dyDescent="0.35">
      <c r="A13" s="2">
        <v>25</v>
      </c>
      <c r="B13" s="3" t="s">
        <v>35</v>
      </c>
      <c r="C13" s="23" t="s">
        <v>6</v>
      </c>
      <c r="D13" s="24"/>
      <c r="E13" s="24" t="s">
        <v>316</v>
      </c>
      <c r="F13" s="35">
        <v>38544</v>
      </c>
      <c r="G13" s="36" t="str">
        <f t="shared" ca="1" si="0"/>
        <v>21 THN 1 BLN</v>
      </c>
      <c r="H13" s="35">
        <v>32686</v>
      </c>
      <c r="I13" s="36" t="str">
        <f t="shared" ca="1" si="1"/>
        <v>37 THN 2 BLN</v>
      </c>
      <c r="J13" s="59" t="s">
        <v>362</v>
      </c>
      <c r="K13" s="40" t="s">
        <v>1</v>
      </c>
      <c r="L13" s="23" t="s">
        <v>308</v>
      </c>
      <c r="M13" s="36" t="s">
        <v>6</v>
      </c>
    </row>
    <row r="14" spans="1:13" x14ac:dyDescent="0.35">
      <c r="A14" s="2">
        <v>27</v>
      </c>
      <c r="B14" s="3" t="s">
        <v>41</v>
      </c>
      <c r="C14" s="23" t="s">
        <v>34</v>
      </c>
      <c r="D14" s="24" t="s">
        <v>194</v>
      </c>
      <c r="E14" s="24" t="s">
        <v>316</v>
      </c>
      <c r="F14" s="35">
        <v>39756</v>
      </c>
      <c r="G14" s="36" t="str">
        <f t="shared" ca="1" si="0"/>
        <v>17 THN 9 BLN</v>
      </c>
      <c r="H14" s="35">
        <v>27968</v>
      </c>
      <c r="I14" s="36" t="str">
        <f t="shared" ca="1" si="1"/>
        <v>50 THN 1 BLN</v>
      </c>
      <c r="J14" s="59" t="s">
        <v>362</v>
      </c>
      <c r="K14" s="40" t="s">
        <v>1</v>
      </c>
      <c r="L14" s="23" t="s">
        <v>313</v>
      </c>
      <c r="M14" s="36" t="s">
        <v>314</v>
      </c>
    </row>
    <row r="15" spans="1:13" x14ac:dyDescent="0.35">
      <c r="A15" s="2">
        <v>28</v>
      </c>
      <c r="B15" s="3" t="s">
        <v>86</v>
      </c>
      <c r="C15" s="23" t="s">
        <v>34</v>
      </c>
      <c r="D15" s="24" t="s">
        <v>194</v>
      </c>
      <c r="E15" s="24" t="s">
        <v>316</v>
      </c>
      <c r="F15" s="35">
        <v>40551</v>
      </c>
      <c r="G15" s="36" t="str">
        <f t="shared" ca="1" si="0"/>
        <v>15 THN 7 BLN</v>
      </c>
      <c r="H15" s="35">
        <v>33086</v>
      </c>
      <c r="I15" s="36" t="str">
        <f t="shared" ca="1" si="1"/>
        <v>36 THN 0 BLN</v>
      </c>
      <c r="J15" s="59" t="s">
        <v>362</v>
      </c>
      <c r="K15" s="40" t="s">
        <v>1</v>
      </c>
      <c r="L15" s="23" t="s">
        <v>313</v>
      </c>
      <c r="M15" s="36"/>
    </row>
    <row r="16" spans="1:13" x14ac:dyDescent="0.35">
      <c r="A16" s="2">
        <v>33</v>
      </c>
      <c r="B16" s="3" t="s">
        <v>71</v>
      </c>
      <c r="C16" s="23" t="s">
        <v>69</v>
      </c>
      <c r="D16" s="24"/>
      <c r="E16" s="24" t="s">
        <v>316</v>
      </c>
      <c r="F16" s="35">
        <v>41862</v>
      </c>
      <c r="G16" s="36" t="str">
        <f t="shared" ca="1" si="0"/>
        <v>12 THN 0 BLN</v>
      </c>
      <c r="H16" s="35">
        <v>25423</v>
      </c>
      <c r="I16" s="36" t="str">
        <f t="shared" ca="1" si="1"/>
        <v>57 THN 0 BLN</v>
      </c>
      <c r="J16" s="59" t="s">
        <v>362</v>
      </c>
      <c r="K16" s="40" t="s">
        <v>1</v>
      </c>
      <c r="L16" s="23" t="s">
        <v>309</v>
      </c>
      <c r="M16" s="36" t="s">
        <v>109</v>
      </c>
    </row>
    <row r="17" spans="1:13" x14ac:dyDescent="0.35">
      <c r="A17" s="2">
        <v>39</v>
      </c>
      <c r="B17" s="3" t="s">
        <v>42</v>
      </c>
      <c r="C17" s="23" t="s">
        <v>192</v>
      </c>
      <c r="D17" s="24"/>
      <c r="E17" s="24" t="s">
        <v>316</v>
      </c>
      <c r="F17" s="35">
        <v>42215</v>
      </c>
      <c r="G17" s="36" t="str">
        <f t="shared" ca="1" si="0"/>
        <v>11 THN 0 BLN</v>
      </c>
      <c r="H17" s="35">
        <v>26055</v>
      </c>
      <c r="I17" s="36" t="str">
        <f t="shared" ca="1" si="1"/>
        <v>55 THN 3 BLN</v>
      </c>
      <c r="J17" s="59" t="s">
        <v>362</v>
      </c>
      <c r="K17" s="40" t="s">
        <v>1</v>
      </c>
      <c r="L17" s="23" t="s">
        <v>309</v>
      </c>
      <c r="M17" s="36" t="s">
        <v>109</v>
      </c>
    </row>
    <row r="18" spans="1:13" x14ac:dyDescent="0.35">
      <c r="A18" s="2">
        <v>40</v>
      </c>
      <c r="B18" s="3" t="s">
        <v>195</v>
      </c>
      <c r="C18" s="23" t="s">
        <v>88</v>
      </c>
      <c r="D18" s="24"/>
      <c r="E18" s="24" t="s">
        <v>316</v>
      </c>
      <c r="F18" s="35">
        <v>41524</v>
      </c>
      <c r="G18" s="36" t="str">
        <f t="shared" ca="1" si="0"/>
        <v>12 THN 11 BLN</v>
      </c>
      <c r="H18" s="35">
        <v>35382</v>
      </c>
      <c r="I18" s="36" t="str">
        <f t="shared" ca="1" si="1"/>
        <v>29 THN 9 BLN</v>
      </c>
      <c r="J18" s="59" t="s">
        <v>362</v>
      </c>
      <c r="K18" s="40" t="s">
        <v>1</v>
      </c>
      <c r="L18" s="23" t="s">
        <v>313</v>
      </c>
      <c r="M18" s="36"/>
    </row>
    <row r="19" spans="1:13" x14ac:dyDescent="0.35">
      <c r="A19" s="2">
        <v>45</v>
      </c>
      <c r="B19" s="3" t="s">
        <v>37</v>
      </c>
      <c r="C19" s="23" t="s">
        <v>34</v>
      </c>
      <c r="D19" s="24"/>
      <c r="E19" s="24" t="s">
        <v>316</v>
      </c>
      <c r="F19" s="35">
        <v>41866</v>
      </c>
      <c r="G19" s="36" t="str">
        <f t="shared" ca="1" si="0"/>
        <v>12 THN 0 BLN</v>
      </c>
      <c r="H19" s="35">
        <v>33396</v>
      </c>
      <c r="I19" s="36" t="str">
        <f t="shared" ca="1" si="1"/>
        <v>35 THN 2 BLN</v>
      </c>
      <c r="J19" s="59" t="s">
        <v>362</v>
      </c>
      <c r="K19" s="40" t="s">
        <v>1</v>
      </c>
      <c r="L19" s="23" t="s">
        <v>309</v>
      </c>
      <c r="M19" s="36" t="s">
        <v>312</v>
      </c>
    </row>
    <row r="20" spans="1:13" x14ac:dyDescent="0.35">
      <c r="A20" s="2">
        <v>65</v>
      </c>
      <c r="B20" s="3" t="s">
        <v>7</v>
      </c>
      <c r="C20" s="23" t="s">
        <v>6</v>
      </c>
      <c r="D20" s="24"/>
      <c r="E20" s="24" t="s">
        <v>316</v>
      </c>
      <c r="F20" s="35">
        <v>42044</v>
      </c>
      <c r="G20" s="36" t="str">
        <f ca="1">DATEDIF(F20,TODAY(),"Y")&amp; " THN "&amp;DATEDIF(F20,TODAY(),"YM")&amp;" BLN"</f>
        <v>11 THN 6 BLN</v>
      </c>
      <c r="H20" s="35">
        <v>35212</v>
      </c>
      <c r="I20" s="36" t="str">
        <f ca="1">DATEDIF(H20,TODAY(),"Y")&amp; " THN "&amp;DATEDIF(H20,TODAY(),"YM")&amp;" BLN"</f>
        <v>30 THN 3 BLN</v>
      </c>
      <c r="J20" s="59" t="s">
        <v>362</v>
      </c>
      <c r="K20" s="40" t="s">
        <v>1</v>
      </c>
      <c r="L20" s="23" t="s">
        <v>308</v>
      </c>
      <c r="M20" s="36" t="s">
        <v>6</v>
      </c>
    </row>
    <row r="21" spans="1:13" x14ac:dyDescent="0.35">
      <c r="A21" s="2">
        <v>77</v>
      </c>
      <c r="B21" s="3" t="s">
        <v>43</v>
      </c>
      <c r="C21" s="23" t="s">
        <v>34</v>
      </c>
      <c r="D21" s="24" t="s">
        <v>194</v>
      </c>
      <c r="E21" s="24" t="s">
        <v>316</v>
      </c>
      <c r="F21" s="35">
        <v>42152</v>
      </c>
      <c r="G21" s="36" t="str">
        <f t="shared" ref="G21:G23" ca="1" si="2">DATEDIF(F21,TODAY(),"Y")&amp; " THN "&amp;DATEDIF(F21,TODAY(),"YM")&amp;" BLN"</f>
        <v>11 THN 3 BLN</v>
      </c>
      <c r="H21" s="35">
        <v>25204</v>
      </c>
      <c r="I21" s="36" t="str">
        <f t="shared" ref="I21:I23" ca="1" si="3">DATEDIF(H21,TODAY(),"Y")&amp; " THN "&amp;DATEDIF(H21,TODAY(),"YM")&amp;" BLN"</f>
        <v>57 THN 7 BLN</v>
      </c>
      <c r="J21" s="59" t="s">
        <v>362</v>
      </c>
      <c r="K21" s="40" t="s">
        <v>1</v>
      </c>
      <c r="L21" s="23" t="s">
        <v>309</v>
      </c>
      <c r="M21" s="36" t="s">
        <v>109</v>
      </c>
    </row>
    <row r="22" spans="1:13" x14ac:dyDescent="0.35">
      <c r="A22" s="2">
        <v>82</v>
      </c>
      <c r="B22" s="3" t="s">
        <v>38</v>
      </c>
      <c r="C22" s="23" t="s">
        <v>88</v>
      </c>
      <c r="D22" s="24"/>
      <c r="E22" s="24" t="s">
        <v>316</v>
      </c>
      <c r="F22" s="35">
        <v>42212</v>
      </c>
      <c r="G22" s="36" t="str">
        <f t="shared" ca="1" si="2"/>
        <v>11 THN 1 BLN</v>
      </c>
      <c r="H22" s="35">
        <v>34624</v>
      </c>
      <c r="I22" s="36" t="str">
        <f t="shared" ca="1" si="3"/>
        <v>31 THN 10 BLN</v>
      </c>
      <c r="J22" s="59" t="s">
        <v>362</v>
      </c>
      <c r="K22" s="40" t="s">
        <v>1</v>
      </c>
      <c r="L22" s="23" t="s">
        <v>313</v>
      </c>
      <c r="M22" s="36"/>
    </row>
    <row r="23" spans="1:13" x14ac:dyDescent="0.35">
      <c r="A23" s="2">
        <v>101</v>
      </c>
      <c r="B23" s="3" t="s">
        <v>56</v>
      </c>
      <c r="C23" s="23" t="s">
        <v>88</v>
      </c>
      <c r="D23" s="24"/>
      <c r="E23" s="24" t="s">
        <v>316</v>
      </c>
      <c r="F23" s="35">
        <v>42522</v>
      </c>
      <c r="G23" s="36" t="str">
        <f t="shared" ca="1" si="2"/>
        <v>10 THN 2 BLN</v>
      </c>
      <c r="H23" s="35">
        <v>29395</v>
      </c>
      <c r="I23" s="36" t="str">
        <f t="shared" ca="1" si="3"/>
        <v>46 THN 2 BLN</v>
      </c>
      <c r="J23" s="59" t="s">
        <v>362</v>
      </c>
      <c r="K23" s="40" t="s">
        <v>1</v>
      </c>
      <c r="L23" s="23" t="s">
        <v>313</v>
      </c>
      <c r="M23" s="36"/>
    </row>
    <row r="24" spans="1:13" x14ac:dyDescent="0.35">
      <c r="A24" s="2">
        <v>105</v>
      </c>
      <c r="B24" s="3" t="s">
        <v>11</v>
      </c>
      <c r="C24" s="23" t="s">
        <v>6</v>
      </c>
      <c r="D24" s="24" t="s">
        <v>192</v>
      </c>
      <c r="E24" s="24" t="s">
        <v>316</v>
      </c>
      <c r="F24" s="35">
        <v>42339</v>
      </c>
      <c r="G24" s="36" t="str">
        <f ca="1">DATEDIF(F24,TODAY(),"Y")&amp; " THN "&amp;DATEDIF(F24,TODAY(),"YM")&amp;" BLN"</f>
        <v>10 THN 8 BLN</v>
      </c>
      <c r="H24" s="35">
        <v>31567</v>
      </c>
      <c r="I24" s="36" t="str">
        <f ca="1">DATEDIF(H24,TODAY(),"Y")&amp; " THN "&amp;DATEDIF(H24,TODAY(),"YM")&amp;" BLN"</f>
        <v>40 THN 2 BLN</v>
      </c>
      <c r="J24" s="59" t="s">
        <v>362</v>
      </c>
      <c r="K24" s="40" t="s">
        <v>1</v>
      </c>
      <c r="L24" s="23" t="s">
        <v>308</v>
      </c>
      <c r="M24" s="36" t="s">
        <v>6</v>
      </c>
    </row>
    <row r="25" spans="1:13" x14ac:dyDescent="0.35">
      <c r="A25" s="2">
        <v>123</v>
      </c>
      <c r="B25" s="3" t="s">
        <v>17</v>
      </c>
      <c r="C25" s="23" t="s">
        <v>6</v>
      </c>
      <c r="D25" s="24"/>
      <c r="E25" s="24" t="s">
        <v>316</v>
      </c>
      <c r="F25" s="35">
        <v>42436</v>
      </c>
      <c r="G25" s="36" t="str">
        <f t="shared" ref="G25:G45" ca="1" si="4">DATEDIF(F25,TODAY(),"Y")&amp; " THN "&amp;DATEDIF(F25,TODAY(),"YM")&amp;" BLN"</f>
        <v>10 THN 5 BLN</v>
      </c>
      <c r="H25" s="35">
        <v>34314</v>
      </c>
      <c r="I25" s="36" t="str">
        <f t="shared" ref="I25:I45" ca="1" si="5">DATEDIF(H25,TODAY(),"Y")&amp; " THN "&amp;DATEDIF(H25,TODAY(),"YM")&amp;" BLN"</f>
        <v>32 THN 8 BLN</v>
      </c>
      <c r="J25" s="59" t="s">
        <v>317</v>
      </c>
      <c r="K25" s="40" t="s">
        <v>1</v>
      </c>
      <c r="L25" s="23" t="s">
        <v>308</v>
      </c>
      <c r="M25" s="36" t="s">
        <v>6</v>
      </c>
    </row>
    <row r="26" spans="1:13" x14ac:dyDescent="0.35">
      <c r="A26" s="2">
        <v>124</v>
      </c>
      <c r="B26" s="3" t="s">
        <v>196</v>
      </c>
      <c r="C26" s="23" t="s">
        <v>6</v>
      </c>
      <c r="D26" s="24" t="s">
        <v>36</v>
      </c>
      <c r="E26" s="24" t="s">
        <v>316</v>
      </c>
      <c r="F26" s="35">
        <v>42462</v>
      </c>
      <c r="G26" s="36" t="str">
        <f t="shared" ca="1" si="4"/>
        <v>10 THN 4 BLN</v>
      </c>
      <c r="H26" s="35">
        <v>34799</v>
      </c>
      <c r="I26" s="36" t="str">
        <f t="shared" ca="1" si="5"/>
        <v>31 THN 4 BLN</v>
      </c>
      <c r="J26" s="59" t="s">
        <v>317</v>
      </c>
      <c r="K26" s="40" t="s">
        <v>1</v>
      </c>
      <c r="L26" s="23" t="s">
        <v>308</v>
      </c>
      <c r="M26" s="36" t="s">
        <v>6</v>
      </c>
    </row>
    <row r="27" spans="1:13" x14ac:dyDescent="0.35">
      <c r="A27" s="2">
        <v>125</v>
      </c>
      <c r="B27" s="3" t="s">
        <v>26</v>
      </c>
      <c r="C27" s="23" t="s">
        <v>6</v>
      </c>
      <c r="D27" s="24"/>
      <c r="E27" s="24" t="s">
        <v>316</v>
      </c>
      <c r="F27" s="35">
        <v>42462</v>
      </c>
      <c r="G27" s="36" t="str">
        <f t="shared" ca="1" si="4"/>
        <v>10 THN 4 BLN</v>
      </c>
      <c r="H27" s="35">
        <v>29989</v>
      </c>
      <c r="I27" s="36" t="str">
        <f t="shared" ca="1" si="5"/>
        <v>44 THN 6 BLN</v>
      </c>
      <c r="J27" s="59" t="s">
        <v>317</v>
      </c>
      <c r="K27" s="40" t="s">
        <v>1</v>
      </c>
      <c r="L27" s="23" t="s">
        <v>308</v>
      </c>
      <c r="M27" s="36" t="s">
        <v>6</v>
      </c>
    </row>
    <row r="28" spans="1:13" x14ac:dyDescent="0.35">
      <c r="A28" s="2">
        <v>132</v>
      </c>
      <c r="B28" s="3" t="s">
        <v>79</v>
      </c>
      <c r="C28" s="23" t="s">
        <v>77</v>
      </c>
      <c r="D28" s="24"/>
      <c r="E28" s="24" t="s">
        <v>316</v>
      </c>
      <c r="F28" s="35">
        <v>42514</v>
      </c>
      <c r="G28" s="36" t="str">
        <f t="shared" ca="1" si="4"/>
        <v>10 THN 3 BLN</v>
      </c>
      <c r="H28" s="35">
        <v>25334</v>
      </c>
      <c r="I28" s="36" t="str">
        <f t="shared" ca="1" si="5"/>
        <v>57 THN 3 BLN</v>
      </c>
      <c r="J28" s="59" t="s">
        <v>317</v>
      </c>
      <c r="K28" s="40" t="s">
        <v>1</v>
      </c>
      <c r="L28" s="23" t="s">
        <v>309</v>
      </c>
      <c r="M28" s="36" t="s">
        <v>109</v>
      </c>
    </row>
    <row r="29" spans="1:13" x14ac:dyDescent="0.35">
      <c r="A29" s="2">
        <v>146</v>
      </c>
      <c r="B29" s="3" t="s">
        <v>10</v>
      </c>
      <c r="C29" s="23" t="s">
        <v>6</v>
      </c>
      <c r="D29" s="24"/>
      <c r="E29" s="24" t="s">
        <v>316</v>
      </c>
      <c r="F29" s="35">
        <v>42675</v>
      </c>
      <c r="G29" s="36" t="str">
        <f t="shared" ca="1" si="4"/>
        <v>9 THN 9 BLN</v>
      </c>
      <c r="H29" s="35">
        <v>35818</v>
      </c>
      <c r="I29" s="36" t="str">
        <f t="shared" ca="1" si="5"/>
        <v>28 THN 7 BLN</v>
      </c>
      <c r="J29" s="59" t="s">
        <v>317</v>
      </c>
      <c r="K29" s="40" t="s">
        <v>1</v>
      </c>
      <c r="L29" s="23" t="s">
        <v>308</v>
      </c>
      <c r="M29" s="36" t="s">
        <v>6</v>
      </c>
    </row>
    <row r="30" spans="1:13" x14ac:dyDescent="0.35">
      <c r="A30" s="2">
        <v>154</v>
      </c>
      <c r="B30" s="3" t="s">
        <v>44</v>
      </c>
      <c r="C30" s="23" t="s">
        <v>34</v>
      </c>
      <c r="D30" s="24" t="s">
        <v>197</v>
      </c>
      <c r="E30" s="24" t="s">
        <v>316</v>
      </c>
      <c r="F30" s="35">
        <v>42752</v>
      </c>
      <c r="G30" s="36" t="str">
        <f t="shared" ca="1" si="4"/>
        <v>9 THN 7 BLN</v>
      </c>
      <c r="H30" s="35">
        <v>31111</v>
      </c>
      <c r="I30" s="36" t="str">
        <f t="shared" ca="1" si="5"/>
        <v>41 THN 5 BLN</v>
      </c>
      <c r="J30" s="59" t="s">
        <v>317</v>
      </c>
      <c r="K30" s="40" t="s">
        <v>1</v>
      </c>
      <c r="L30" s="23" t="s">
        <v>313</v>
      </c>
      <c r="M30" s="36"/>
    </row>
    <row r="31" spans="1:13" x14ac:dyDescent="0.35">
      <c r="A31" s="2">
        <v>157</v>
      </c>
      <c r="B31" s="3" t="s">
        <v>45</v>
      </c>
      <c r="C31" s="23" t="s">
        <v>34</v>
      </c>
      <c r="D31" s="24" t="s">
        <v>198</v>
      </c>
      <c r="E31" s="24" t="s">
        <v>316</v>
      </c>
      <c r="F31" s="35">
        <v>42753</v>
      </c>
      <c r="G31" s="36" t="str">
        <f t="shared" ca="1" si="4"/>
        <v>9 THN 7 BLN</v>
      </c>
      <c r="H31" s="35">
        <v>31672</v>
      </c>
      <c r="I31" s="36" t="str">
        <f t="shared" ca="1" si="5"/>
        <v>39 THN 11 BLN</v>
      </c>
      <c r="J31" s="59" t="s">
        <v>317</v>
      </c>
      <c r="K31" s="40" t="s">
        <v>1</v>
      </c>
      <c r="L31" s="23" t="s">
        <v>313</v>
      </c>
      <c r="M31" s="36"/>
    </row>
    <row r="32" spans="1:13" x14ac:dyDescent="0.35">
      <c r="A32" s="2">
        <v>171</v>
      </c>
      <c r="B32" s="3" t="s">
        <v>39</v>
      </c>
      <c r="C32" s="23" t="s">
        <v>34</v>
      </c>
      <c r="D32" s="24" t="s">
        <v>198</v>
      </c>
      <c r="E32" s="24" t="s">
        <v>316</v>
      </c>
      <c r="F32" s="35">
        <v>42789</v>
      </c>
      <c r="G32" s="36" t="str">
        <f t="shared" ca="1" si="4"/>
        <v>9 THN 6 BLN</v>
      </c>
      <c r="H32" s="35">
        <v>32863</v>
      </c>
      <c r="I32" s="36" t="str">
        <f t="shared" ca="1" si="5"/>
        <v>36 THN 8 BLN</v>
      </c>
      <c r="J32" s="59" t="s">
        <v>317</v>
      </c>
      <c r="K32" s="40" t="s">
        <v>1</v>
      </c>
      <c r="L32" s="23" t="s">
        <v>313</v>
      </c>
      <c r="M32" s="36"/>
    </row>
    <row r="33" spans="1:13" x14ac:dyDescent="0.35">
      <c r="A33" s="2">
        <v>182</v>
      </c>
      <c r="B33" s="3" t="s">
        <v>14</v>
      </c>
      <c r="C33" s="23" t="s">
        <v>6</v>
      </c>
      <c r="D33" s="24"/>
      <c r="E33" s="24" t="s">
        <v>291</v>
      </c>
      <c r="F33" s="35">
        <v>42807</v>
      </c>
      <c r="G33" s="36" t="str">
        <f t="shared" ca="1" si="4"/>
        <v>9 THN 5 BLN</v>
      </c>
      <c r="H33" s="35">
        <v>32276</v>
      </c>
      <c r="I33" s="36" t="str">
        <f t="shared" ca="1" si="5"/>
        <v>38 THN 3 BLN</v>
      </c>
      <c r="J33" s="60">
        <v>45961</v>
      </c>
      <c r="K33" s="40" t="s">
        <v>1</v>
      </c>
      <c r="L33" s="23" t="s">
        <v>308</v>
      </c>
      <c r="M33" s="36" t="s">
        <v>6</v>
      </c>
    </row>
    <row r="34" spans="1:13" x14ac:dyDescent="0.35">
      <c r="A34" s="2">
        <v>202</v>
      </c>
      <c r="B34" s="3" t="s">
        <v>50</v>
      </c>
      <c r="C34" s="23" t="s">
        <v>34</v>
      </c>
      <c r="D34" s="24" t="s">
        <v>193</v>
      </c>
      <c r="E34" s="24" t="s">
        <v>316</v>
      </c>
      <c r="F34" s="35">
        <v>42903</v>
      </c>
      <c r="G34" s="36" t="str">
        <f t="shared" ca="1" si="4"/>
        <v>9 THN 2 BLN</v>
      </c>
      <c r="H34" s="35">
        <v>34213</v>
      </c>
      <c r="I34" s="36" t="str">
        <f t="shared" ca="1" si="5"/>
        <v>32 THN 11 BLN</v>
      </c>
      <c r="J34" s="59" t="s">
        <v>317</v>
      </c>
      <c r="K34" s="40" t="s">
        <v>1</v>
      </c>
      <c r="L34" s="23" t="s">
        <v>309</v>
      </c>
      <c r="M34" s="36" t="s">
        <v>312</v>
      </c>
    </row>
    <row r="35" spans="1:13" x14ac:dyDescent="0.35">
      <c r="A35" s="2">
        <v>205</v>
      </c>
      <c r="B35" s="3" t="s">
        <v>64</v>
      </c>
      <c r="C35" s="23" t="s">
        <v>6</v>
      </c>
      <c r="D35" s="24" t="s">
        <v>189</v>
      </c>
      <c r="E35" s="24" t="s">
        <v>316</v>
      </c>
      <c r="F35" s="35">
        <v>42954</v>
      </c>
      <c r="G35" s="36" t="str">
        <f t="shared" ca="1" si="4"/>
        <v>9 THN 0 BLN</v>
      </c>
      <c r="H35" s="35">
        <v>32608</v>
      </c>
      <c r="I35" s="36" t="str">
        <f t="shared" ca="1" si="5"/>
        <v>37 THN 4 BLN</v>
      </c>
      <c r="J35" s="59" t="s">
        <v>317</v>
      </c>
      <c r="K35" s="40" t="s">
        <v>1</v>
      </c>
      <c r="L35" s="23" t="s">
        <v>309</v>
      </c>
      <c r="M35" s="36" t="s">
        <v>312</v>
      </c>
    </row>
    <row r="36" spans="1:13" x14ac:dyDescent="0.35">
      <c r="A36" s="2">
        <v>234</v>
      </c>
      <c r="B36" s="3" t="s">
        <v>66</v>
      </c>
      <c r="C36" s="23" t="s">
        <v>90</v>
      </c>
      <c r="D36" s="24"/>
      <c r="E36" s="24" t="s">
        <v>316</v>
      </c>
      <c r="F36" s="35">
        <v>43290</v>
      </c>
      <c r="G36" s="36" t="str">
        <f t="shared" ca="1" si="4"/>
        <v>8 THN 1 BLN</v>
      </c>
      <c r="H36" s="35">
        <v>34321</v>
      </c>
      <c r="I36" s="36" t="str">
        <f t="shared" ca="1" si="5"/>
        <v>32 THN 8 BLN</v>
      </c>
      <c r="J36" s="59" t="s">
        <v>317</v>
      </c>
      <c r="K36" s="40" t="s">
        <v>1</v>
      </c>
      <c r="L36" s="23" t="s">
        <v>309</v>
      </c>
      <c r="M36" s="36" t="s">
        <v>312</v>
      </c>
    </row>
    <row r="37" spans="1:13" x14ac:dyDescent="0.35">
      <c r="A37" s="2">
        <v>239</v>
      </c>
      <c r="B37" s="3" t="s">
        <v>46</v>
      </c>
      <c r="C37" s="23" t="s">
        <v>34</v>
      </c>
      <c r="D37" s="24" t="s">
        <v>198</v>
      </c>
      <c r="E37" s="24" t="s">
        <v>316</v>
      </c>
      <c r="F37" s="37">
        <v>43293</v>
      </c>
      <c r="G37" s="36" t="str">
        <f t="shared" ca="1" si="4"/>
        <v>8 THN 1 BLN</v>
      </c>
      <c r="H37" s="35">
        <v>29127</v>
      </c>
      <c r="I37" s="36" t="str">
        <f t="shared" ca="1" si="5"/>
        <v>46 THN 11 BLN</v>
      </c>
      <c r="J37" s="59" t="s">
        <v>317</v>
      </c>
      <c r="K37" s="40" t="s">
        <v>1</v>
      </c>
      <c r="L37" s="23" t="s">
        <v>313</v>
      </c>
      <c r="M37" s="36"/>
    </row>
    <row r="38" spans="1:13" x14ac:dyDescent="0.35">
      <c r="A38" s="2">
        <v>242</v>
      </c>
      <c r="B38" s="3" t="s">
        <v>76</v>
      </c>
      <c r="C38" s="23" t="s">
        <v>199</v>
      </c>
      <c r="D38" s="24"/>
      <c r="E38" s="24" t="s">
        <v>316</v>
      </c>
      <c r="F38" s="35">
        <v>43299</v>
      </c>
      <c r="G38" s="36" t="str">
        <f t="shared" ca="1" si="4"/>
        <v>8 THN 1 BLN</v>
      </c>
      <c r="H38" s="35">
        <v>28636</v>
      </c>
      <c r="I38" s="36" t="str">
        <f t="shared" ca="1" si="5"/>
        <v>48 THN 3 BLN</v>
      </c>
      <c r="J38" s="59" t="s">
        <v>317</v>
      </c>
      <c r="K38" s="40" t="s">
        <v>1</v>
      </c>
      <c r="L38" s="23" t="s">
        <v>309</v>
      </c>
      <c r="M38" s="36" t="s">
        <v>311</v>
      </c>
    </row>
    <row r="39" spans="1:13" x14ac:dyDescent="0.35">
      <c r="A39" s="2">
        <v>247</v>
      </c>
      <c r="B39" s="3" t="s">
        <v>110</v>
      </c>
      <c r="C39" s="23" t="s">
        <v>34</v>
      </c>
      <c r="D39" s="24" t="s">
        <v>200</v>
      </c>
      <c r="E39" s="24" t="s">
        <v>316</v>
      </c>
      <c r="F39" s="35">
        <v>43325</v>
      </c>
      <c r="G39" s="36" t="str">
        <f t="shared" ca="1" si="4"/>
        <v>8 THN 0 BLN</v>
      </c>
      <c r="H39" s="35">
        <v>30443</v>
      </c>
      <c r="I39" s="36" t="str">
        <f t="shared" ca="1" si="5"/>
        <v>43 THN 3 BLN</v>
      </c>
      <c r="J39" s="59" t="s">
        <v>317</v>
      </c>
      <c r="K39" s="40" t="s">
        <v>1</v>
      </c>
      <c r="L39" s="23" t="s">
        <v>313</v>
      </c>
      <c r="M39" s="36"/>
    </row>
    <row r="40" spans="1:13" x14ac:dyDescent="0.35">
      <c r="A40" s="2">
        <v>263</v>
      </c>
      <c r="B40" s="3" t="s">
        <v>201</v>
      </c>
      <c r="C40" s="23" t="s">
        <v>90</v>
      </c>
      <c r="D40" s="24"/>
      <c r="E40" s="24" t="s">
        <v>316</v>
      </c>
      <c r="F40" s="35">
        <v>43347</v>
      </c>
      <c r="G40" s="36" t="str">
        <f t="shared" ca="1" si="4"/>
        <v>7 THN 11 BLN</v>
      </c>
      <c r="H40" s="35">
        <v>33595</v>
      </c>
      <c r="I40" s="36" t="str">
        <f t="shared" ca="1" si="5"/>
        <v>34 THN 8 BLN</v>
      </c>
      <c r="J40" s="59" t="s">
        <v>317</v>
      </c>
      <c r="K40" s="40" t="s">
        <v>1</v>
      </c>
      <c r="L40" s="23" t="s">
        <v>309</v>
      </c>
      <c r="M40" s="36" t="s">
        <v>312</v>
      </c>
    </row>
    <row r="41" spans="1:13" x14ac:dyDescent="0.35">
      <c r="A41" s="2">
        <v>283</v>
      </c>
      <c r="B41" s="3" t="s">
        <v>202</v>
      </c>
      <c r="C41" s="23" t="s">
        <v>25</v>
      </c>
      <c r="D41" s="24"/>
      <c r="E41" s="24" t="s">
        <v>316</v>
      </c>
      <c r="F41" s="35">
        <v>43493</v>
      </c>
      <c r="G41" s="36" t="str">
        <f t="shared" ca="1" si="4"/>
        <v>7 THN 7 BLN</v>
      </c>
      <c r="H41" s="35">
        <v>34000</v>
      </c>
      <c r="I41" s="36" t="str">
        <f t="shared" ca="1" si="5"/>
        <v>33 THN 6 BLN</v>
      </c>
      <c r="J41" s="59" t="s">
        <v>317</v>
      </c>
      <c r="K41" s="40" t="s">
        <v>1</v>
      </c>
      <c r="L41" s="23" t="s">
        <v>309</v>
      </c>
      <c r="M41" s="36" t="s">
        <v>312</v>
      </c>
    </row>
    <row r="42" spans="1:13" x14ac:dyDescent="0.35">
      <c r="A42" s="2">
        <v>295</v>
      </c>
      <c r="B42" s="3" t="s">
        <v>96</v>
      </c>
      <c r="C42" s="23" t="s">
        <v>199</v>
      </c>
      <c r="D42" s="24"/>
      <c r="E42" s="24" t="s">
        <v>316</v>
      </c>
      <c r="F42" s="35">
        <v>43509</v>
      </c>
      <c r="G42" s="36" t="str">
        <f t="shared" ca="1" si="4"/>
        <v>7 THN 6 BLN</v>
      </c>
      <c r="H42" s="35">
        <v>26829</v>
      </c>
      <c r="I42" s="36" t="str">
        <f t="shared" ca="1" si="5"/>
        <v>53 THN 2 BLN</v>
      </c>
      <c r="J42" s="59" t="s">
        <v>317</v>
      </c>
      <c r="K42" s="40" t="s">
        <v>1</v>
      </c>
      <c r="L42" s="23" t="s">
        <v>309</v>
      </c>
      <c r="M42" s="36" t="s">
        <v>311</v>
      </c>
    </row>
    <row r="43" spans="1:13" x14ac:dyDescent="0.35">
      <c r="A43" s="2">
        <v>303</v>
      </c>
      <c r="B43" s="3" t="s">
        <v>51</v>
      </c>
      <c r="C43" s="23" t="s">
        <v>34</v>
      </c>
      <c r="D43" s="24" t="s">
        <v>203</v>
      </c>
      <c r="E43" s="24" t="s">
        <v>316</v>
      </c>
      <c r="F43" s="35">
        <v>43150</v>
      </c>
      <c r="G43" s="36" t="str">
        <f t="shared" ca="1" si="4"/>
        <v>8 THN 6 BLN</v>
      </c>
      <c r="H43" s="35">
        <v>30297</v>
      </c>
      <c r="I43" s="36" t="str">
        <f t="shared" ca="1" si="5"/>
        <v>43 THN 8 BLN</v>
      </c>
      <c r="J43" s="59" t="s">
        <v>317</v>
      </c>
      <c r="K43" s="40" t="s">
        <v>1</v>
      </c>
      <c r="L43" s="23" t="s">
        <v>309</v>
      </c>
      <c r="M43" s="36" t="s">
        <v>312</v>
      </c>
    </row>
    <row r="44" spans="1:13" x14ac:dyDescent="0.35">
      <c r="A44" s="2">
        <v>304</v>
      </c>
      <c r="B44" s="3" t="s">
        <v>102</v>
      </c>
      <c r="C44" s="23" t="s">
        <v>34</v>
      </c>
      <c r="D44" s="24" t="s">
        <v>204</v>
      </c>
      <c r="E44" s="24" t="s">
        <v>316</v>
      </c>
      <c r="F44" s="35">
        <v>43525</v>
      </c>
      <c r="G44" s="36" t="str">
        <f t="shared" ca="1" si="4"/>
        <v>7 THN 5 BLN</v>
      </c>
      <c r="H44" s="35">
        <v>34586</v>
      </c>
      <c r="I44" s="36" t="str">
        <f t="shared" ca="1" si="5"/>
        <v>31 THN 11 BLN</v>
      </c>
      <c r="J44" s="59" t="s">
        <v>362</v>
      </c>
      <c r="K44" s="40" t="s">
        <v>317</v>
      </c>
      <c r="L44" s="23" t="s">
        <v>309</v>
      </c>
      <c r="M44" s="36" t="s">
        <v>312</v>
      </c>
    </row>
    <row r="45" spans="1:13" x14ac:dyDescent="0.35">
      <c r="A45" s="2">
        <v>306</v>
      </c>
      <c r="B45" s="3" t="s">
        <v>103</v>
      </c>
      <c r="C45" s="23" t="s">
        <v>34</v>
      </c>
      <c r="D45" s="24" t="s">
        <v>204</v>
      </c>
      <c r="E45" s="24" t="s">
        <v>316</v>
      </c>
      <c r="F45" s="35">
        <v>43525</v>
      </c>
      <c r="G45" s="36" t="str">
        <f t="shared" ca="1" si="4"/>
        <v>7 THN 5 BLN</v>
      </c>
      <c r="H45" s="35">
        <v>34500</v>
      </c>
      <c r="I45" s="36" t="str">
        <f t="shared" ca="1" si="5"/>
        <v>32 THN 2 BLN</v>
      </c>
      <c r="J45" s="59" t="s">
        <v>362</v>
      </c>
      <c r="K45" s="40" t="s">
        <v>317</v>
      </c>
      <c r="L45" s="23" t="s">
        <v>309</v>
      </c>
      <c r="M45" s="36" t="s">
        <v>312</v>
      </c>
    </row>
    <row r="46" spans="1:13" x14ac:dyDescent="0.35">
      <c r="A46" s="2">
        <v>322</v>
      </c>
      <c r="B46" s="3" t="s">
        <v>84</v>
      </c>
      <c r="C46" s="23" t="s">
        <v>25</v>
      </c>
      <c r="D46" s="24"/>
      <c r="E46" s="24" t="s">
        <v>316</v>
      </c>
      <c r="F46" s="37">
        <v>43658</v>
      </c>
      <c r="G46" s="36" t="str">
        <f ca="1">DATEDIF(F46,TODAY(),"Y")&amp; " THN "&amp;DATEDIF(F46,TODAY(),"YM")&amp;" BLN"</f>
        <v>7 THN 1 BLN</v>
      </c>
      <c r="H46" s="35">
        <v>36884</v>
      </c>
      <c r="I46" s="36" t="str">
        <f ca="1">DATEDIF(H46,TODAY(),"Y")&amp; " THN "&amp;DATEDIF(H46,TODAY(),"YM")&amp;" BLN"</f>
        <v>25 THN 8 BLN</v>
      </c>
      <c r="J46" s="59" t="s">
        <v>317</v>
      </c>
      <c r="K46" s="40" t="s">
        <v>1</v>
      </c>
      <c r="L46" s="23" t="s">
        <v>309</v>
      </c>
      <c r="M46" s="36" t="s">
        <v>312</v>
      </c>
    </row>
    <row r="47" spans="1:13" x14ac:dyDescent="0.35">
      <c r="A47" s="2">
        <v>332</v>
      </c>
      <c r="B47" s="3" t="s">
        <v>97</v>
      </c>
      <c r="C47" s="23" t="s">
        <v>6</v>
      </c>
      <c r="D47" s="24"/>
      <c r="E47" s="24" t="s">
        <v>316</v>
      </c>
      <c r="F47" s="35">
        <v>43703</v>
      </c>
      <c r="G47" s="36" t="str">
        <f t="shared" ref="G47:G110" ca="1" si="6">DATEDIF(F47,TODAY(),"Y")&amp; " THN "&amp;DATEDIF(F47,TODAY(),"YM")&amp;" BLN"</f>
        <v>7 THN 0 BLN</v>
      </c>
      <c r="H47" s="35">
        <v>31587</v>
      </c>
      <c r="I47" s="36" t="str">
        <f t="shared" ref="I47:I110" ca="1" si="7">DATEDIF(H47,TODAY(),"Y")&amp; " THN "&amp;DATEDIF(H47,TODAY(),"YM")&amp;" BLN"</f>
        <v>40 THN 2 BLN</v>
      </c>
      <c r="J47" s="59" t="s">
        <v>317</v>
      </c>
      <c r="K47" s="40" t="s">
        <v>317</v>
      </c>
      <c r="L47" s="23" t="s">
        <v>308</v>
      </c>
      <c r="M47" s="36" t="s">
        <v>6</v>
      </c>
    </row>
    <row r="48" spans="1:13" x14ac:dyDescent="0.35">
      <c r="A48" s="2">
        <v>341</v>
      </c>
      <c r="B48" s="3" t="s">
        <v>118</v>
      </c>
      <c r="C48" s="23" t="s">
        <v>69</v>
      </c>
      <c r="D48" s="24"/>
      <c r="E48" s="24" t="s">
        <v>316</v>
      </c>
      <c r="F48" s="35">
        <v>43823</v>
      </c>
      <c r="G48" s="36" t="str">
        <f t="shared" ca="1" si="6"/>
        <v>6 THN 8 BLN</v>
      </c>
      <c r="H48" s="35">
        <v>29104</v>
      </c>
      <c r="I48" s="36" t="str">
        <f t="shared" ca="1" si="7"/>
        <v>46 THN 11 BLN</v>
      </c>
      <c r="J48" s="59" t="s">
        <v>317</v>
      </c>
      <c r="K48" s="40" t="s">
        <v>317</v>
      </c>
      <c r="L48" s="23" t="s">
        <v>309</v>
      </c>
      <c r="M48" s="36" t="s">
        <v>311</v>
      </c>
    </row>
    <row r="49" spans="1:13" x14ac:dyDescent="0.35">
      <c r="A49" s="2">
        <v>348</v>
      </c>
      <c r="B49" s="3" t="s">
        <v>115</v>
      </c>
      <c r="C49" s="23" t="s">
        <v>192</v>
      </c>
      <c r="D49" s="24" t="s">
        <v>205</v>
      </c>
      <c r="E49" s="24" t="s">
        <v>316</v>
      </c>
      <c r="F49" s="37">
        <v>43881</v>
      </c>
      <c r="G49" s="36" t="str">
        <f t="shared" ca="1" si="6"/>
        <v>6 THN 6 BLN</v>
      </c>
      <c r="H49" s="35">
        <v>35701</v>
      </c>
      <c r="I49" s="36" t="str">
        <f t="shared" ca="1" si="7"/>
        <v>28 THN 11 BLN</v>
      </c>
      <c r="J49" s="59" t="s">
        <v>317</v>
      </c>
      <c r="K49" s="40" t="s">
        <v>317</v>
      </c>
      <c r="L49" s="23" t="s">
        <v>313</v>
      </c>
      <c r="M49" s="36"/>
    </row>
    <row r="50" spans="1:13" x14ac:dyDescent="0.35">
      <c r="A50" s="2">
        <v>354</v>
      </c>
      <c r="B50" s="3" t="s">
        <v>113</v>
      </c>
      <c r="C50" s="23" t="s">
        <v>16</v>
      </c>
      <c r="D50" s="24"/>
      <c r="E50" s="24" t="s">
        <v>316</v>
      </c>
      <c r="F50" s="35">
        <v>43910</v>
      </c>
      <c r="G50" s="36" t="str">
        <f t="shared" ca="1" si="6"/>
        <v>6 THN 5 BLN</v>
      </c>
      <c r="H50" s="35">
        <v>33490</v>
      </c>
      <c r="I50" s="36" t="str">
        <f t="shared" ca="1" si="7"/>
        <v>34 THN 11 BLN</v>
      </c>
      <c r="J50" s="59" t="s">
        <v>317</v>
      </c>
      <c r="K50" s="40" t="s">
        <v>317</v>
      </c>
      <c r="L50" s="23" t="s">
        <v>309</v>
      </c>
      <c r="M50" s="36" t="s">
        <v>311</v>
      </c>
    </row>
    <row r="51" spans="1:13" x14ac:dyDescent="0.35">
      <c r="A51" s="2">
        <v>356</v>
      </c>
      <c r="B51" s="3" t="s">
        <v>114</v>
      </c>
      <c r="C51" s="23" t="s">
        <v>6</v>
      </c>
      <c r="D51" s="24" t="s">
        <v>206</v>
      </c>
      <c r="E51" s="24" t="s">
        <v>316</v>
      </c>
      <c r="F51" s="35">
        <v>44013</v>
      </c>
      <c r="G51" s="36" t="str">
        <f t="shared" ca="1" si="6"/>
        <v>6 THN 1 BLN</v>
      </c>
      <c r="H51" s="35">
        <v>33216</v>
      </c>
      <c r="I51" s="36" t="str">
        <f t="shared" ca="1" si="7"/>
        <v>35 THN 8 BLN</v>
      </c>
      <c r="J51" s="59" t="s">
        <v>317</v>
      </c>
      <c r="K51" s="40" t="s">
        <v>317</v>
      </c>
      <c r="L51" s="23" t="s">
        <v>308</v>
      </c>
      <c r="M51" s="36" t="s">
        <v>6</v>
      </c>
    </row>
    <row r="52" spans="1:13" x14ac:dyDescent="0.35">
      <c r="A52" s="2">
        <v>361</v>
      </c>
      <c r="B52" s="3" t="s">
        <v>175</v>
      </c>
      <c r="C52" s="23" t="s">
        <v>199</v>
      </c>
      <c r="D52" s="24"/>
      <c r="E52" s="24" t="s">
        <v>316</v>
      </c>
      <c r="F52" s="35">
        <v>44058</v>
      </c>
      <c r="G52" s="36" t="str">
        <f t="shared" ca="1" si="6"/>
        <v>6 THN 0 BLN</v>
      </c>
      <c r="H52" s="35">
        <v>34860</v>
      </c>
      <c r="I52" s="36" t="str">
        <f t="shared" ca="1" si="7"/>
        <v>31 THN 2 BLN</v>
      </c>
      <c r="J52" s="59" t="s">
        <v>317</v>
      </c>
      <c r="K52" s="40" t="s">
        <v>317</v>
      </c>
      <c r="L52" s="23" t="s">
        <v>309</v>
      </c>
      <c r="M52" s="36" t="s">
        <v>311</v>
      </c>
    </row>
    <row r="53" spans="1:13" x14ac:dyDescent="0.35">
      <c r="A53" s="2">
        <v>364</v>
      </c>
      <c r="B53" s="3" t="s">
        <v>148</v>
      </c>
      <c r="C53" s="23" t="s">
        <v>6</v>
      </c>
      <c r="D53" s="24"/>
      <c r="E53" s="24" t="s">
        <v>291</v>
      </c>
      <c r="F53" s="35">
        <v>44061</v>
      </c>
      <c r="G53" s="36" t="str">
        <f t="shared" ca="1" si="6"/>
        <v>6 THN 0 BLN</v>
      </c>
      <c r="H53" s="35">
        <v>31896</v>
      </c>
      <c r="I53" s="36" t="str">
        <f t="shared" ca="1" si="7"/>
        <v>39 THN 4 BLN</v>
      </c>
      <c r="J53" s="60">
        <v>45946</v>
      </c>
      <c r="K53" s="40" t="s">
        <v>317</v>
      </c>
      <c r="L53" s="23" t="s">
        <v>308</v>
      </c>
      <c r="M53" s="36" t="s">
        <v>6</v>
      </c>
    </row>
    <row r="54" spans="1:13" x14ac:dyDescent="0.35">
      <c r="A54" s="2">
        <v>365</v>
      </c>
      <c r="B54" s="3" t="s">
        <v>165</v>
      </c>
      <c r="C54" s="23" t="s">
        <v>207</v>
      </c>
      <c r="D54" s="24"/>
      <c r="E54" s="24" t="s">
        <v>316</v>
      </c>
      <c r="F54" s="35">
        <v>44069</v>
      </c>
      <c r="G54" s="36" t="str">
        <f t="shared" ca="1" si="6"/>
        <v>6 THN 0 BLN</v>
      </c>
      <c r="H54" s="35">
        <v>37322</v>
      </c>
      <c r="I54" s="36" t="str">
        <f t="shared" ca="1" si="7"/>
        <v>24 THN 5 BLN</v>
      </c>
      <c r="J54" s="59" t="s">
        <v>317</v>
      </c>
      <c r="K54" s="40" t="s">
        <v>317</v>
      </c>
      <c r="L54" s="23" t="s">
        <v>309</v>
      </c>
      <c r="M54" s="36" t="s">
        <v>312</v>
      </c>
    </row>
    <row r="55" spans="1:13" x14ac:dyDescent="0.35">
      <c r="A55" s="2">
        <v>370</v>
      </c>
      <c r="B55" s="3" t="s">
        <v>167</v>
      </c>
      <c r="C55" s="23" t="s">
        <v>34</v>
      </c>
      <c r="D55" s="24" t="s">
        <v>208</v>
      </c>
      <c r="E55" s="24" t="s">
        <v>316</v>
      </c>
      <c r="F55" s="35">
        <v>44088</v>
      </c>
      <c r="G55" s="36" t="str">
        <f t="shared" ca="1" si="6"/>
        <v>5 THN 11 BLN</v>
      </c>
      <c r="H55" s="35">
        <v>35598</v>
      </c>
      <c r="I55" s="36" t="str">
        <f t="shared" ca="1" si="7"/>
        <v>29 THN 2 BLN</v>
      </c>
      <c r="J55" s="59" t="s">
        <v>317</v>
      </c>
      <c r="K55" s="40" t="s">
        <v>317</v>
      </c>
      <c r="L55" s="23" t="s">
        <v>313</v>
      </c>
      <c r="M55" s="36"/>
    </row>
    <row r="56" spans="1:13" x14ac:dyDescent="0.35">
      <c r="A56" s="2">
        <v>372</v>
      </c>
      <c r="B56" s="3" t="s">
        <v>153</v>
      </c>
      <c r="C56" s="23" t="s">
        <v>192</v>
      </c>
      <c r="D56" s="24"/>
      <c r="E56" s="24" t="s">
        <v>316</v>
      </c>
      <c r="F56" s="35">
        <v>44091</v>
      </c>
      <c r="G56" s="36" t="str">
        <f t="shared" ca="1" si="6"/>
        <v>5 THN 11 BLN</v>
      </c>
      <c r="H56" s="35">
        <v>37312</v>
      </c>
      <c r="I56" s="36" t="str">
        <f t="shared" ca="1" si="7"/>
        <v>24 THN 6 BLN</v>
      </c>
      <c r="J56" s="59" t="s">
        <v>317</v>
      </c>
      <c r="K56" s="40" t="s">
        <v>317</v>
      </c>
      <c r="L56" s="23" t="s">
        <v>313</v>
      </c>
      <c r="M56" s="36"/>
    </row>
    <row r="57" spans="1:13" x14ac:dyDescent="0.35">
      <c r="A57" s="2">
        <v>373</v>
      </c>
      <c r="B57" s="3" t="s">
        <v>173</v>
      </c>
      <c r="C57" s="23" t="s">
        <v>90</v>
      </c>
      <c r="D57" s="24"/>
      <c r="E57" s="24" t="s">
        <v>316</v>
      </c>
      <c r="F57" s="37">
        <v>44095</v>
      </c>
      <c r="G57" s="36" t="str">
        <f t="shared" ca="1" si="6"/>
        <v>5 THN 11 BLN</v>
      </c>
      <c r="H57" s="35">
        <v>34865</v>
      </c>
      <c r="I57" s="36" t="str">
        <f t="shared" ca="1" si="7"/>
        <v>31 THN 2 BLN</v>
      </c>
      <c r="J57" s="59" t="s">
        <v>317</v>
      </c>
      <c r="K57" s="40" t="s">
        <v>317</v>
      </c>
      <c r="L57" s="23" t="s">
        <v>319</v>
      </c>
      <c r="M57" s="36" t="s">
        <v>318</v>
      </c>
    </row>
    <row r="58" spans="1:13" x14ac:dyDescent="0.35">
      <c r="A58" s="2">
        <v>383</v>
      </c>
      <c r="B58" s="3" t="s">
        <v>209</v>
      </c>
      <c r="C58" s="23" t="s">
        <v>34</v>
      </c>
      <c r="D58" s="24" t="s">
        <v>210</v>
      </c>
      <c r="E58" s="24" t="s">
        <v>316</v>
      </c>
      <c r="F58" s="35">
        <v>44184</v>
      </c>
      <c r="G58" s="36" t="str">
        <f t="shared" ca="1" si="6"/>
        <v>5 THN 8 BLN</v>
      </c>
      <c r="H58" s="35">
        <v>37188</v>
      </c>
      <c r="I58" s="36" t="str">
        <f t="shared" ca="1" si="7"/>
        <v>24 THN 10 BLN</v>
      </c>
      <c r="J58" s="59" t="s">
        <v>317</v>
      </c>
      <c r="K58" s="40" t="s">
        <v>317</v>
      </c>
      <c r="L58" s="23" t="s">
        <v>313</v>
      </c>
      <c r="M58" s="36"/>
    </row>
    <row r="59" spans="1:13" x14ac:dyDescent="0.35">
      <c r="A59" s="2">
        <v>387</v>
      </c>
      <c r="B59" s="3" t="s">
        <v>183</v>
      </c>
      <c r="C59" s="23" t="s">
        <v>6</v>
      </c>
      <c r="D59" s="24"/>
      <c r="E59" s="24" t="s">
        <v>316</v>
      </c>
      <c r="F59" s="35">
        <v>44172</v>
      </c>
      <c r="G59" s="36" t="str">
        <f t="shared" ca="1" si="6"/>
        <v>5 THN 8 BLN</v>
      </c>
      <c r="H59" s="35">
        <v>30634</v>
      </c>
      <c r="I59" s="36" t="str">
        <f t="shared" ca="1" si="7"/>
        <v>42 THN 9 BLN</v>
      </c>
      <c r="J59" s="59" t="s">
        <v>317</v>
      </c>
      <c r="K59" s="40" t="s">
        <v>317</v>
      </c>
      <c r="L59" s="23" t="s">
        <v>308</v>
      </c>
      <c r="M59" s="36" t="s">
        <v>6</v>
      </c>
    </row>
    <row r="60" spans="1:13" x14ac:dyDescent="0.35">
      <c r="A60" s="2">
        <v>389</v>
      </c>
      <c r="B60" s="3" t="s">
        <v>211</v>
      </c>
      <c r="C60" s="23" t="s">
        <v>34</v>
      </c>
      <c r="D60" s="24" t="s">
        <v>212</v>
      </c>
      <c r="E60" s="24" t="s">
        <v>316</v>
      </c>
      <c r="F60" s="35">
        <v>44184</v>
      </c>
      <c r="G60" s="36" t="str">
        <f t="shared" ca="1" si="6"/>
        <v>5 THN 8 BLN</v>
      </c>
      <c r="H60" s="35">
        <v>37454</v>
      </c>
      <c r="I60" s="36" t="str">
        <f t="shared" ca="1" si="7"/>
        <v>24 THN 1 BLN</v>
      </c>
      <c r="J60" s="59" t="s">
        <v>317</v>
      </c>
      <c r="K60" s="40" t="s">
        <v>317</v>
      </c>
      <c r="L60" s="23" t="s">
        <v>309</v>
      </c>
      <c r="M60" s="36" t="s">
        <v>312</v>
      </c>
    </row>
    <row r="61" spans="1:13" x14ac:dyDescent="0.35">
      <c r="A61" s="2">
        <v>391</v>
      </c>
      <c r="B61" s="3" t="s">
        <v>213</v>
      </c>
      <c r="C61" s="23" t="s">
        <v>90</v>
      </c>
      <c r="D61" s="24"/>
      <c r="E61" s="24" t="s">
        <v>316</v>
      </c>
      <c r="F61" s="35">
        <v>44222</v>
      </c>
      <c r="G61" s="36" t="str">
        <f t="shared" ca="1" si="6"/>
        <v>5 THN 7 BLN</v>
      </c>
      <c r="H61" s="35">
        <v>36595</v>
      </c>
      <c r="I61" s="36" t="str">
        <f t="shared" ca="1" si="7"/>
        <v>26 THN 5 BLN</v>
      </c>
      <c r="J61" s="59" t="s">
        <v>317</v>
      </c>
      <c r="K61" s="40" t="s">
        <v>317</v>
      </c>
      <c r="L61" s="23" t="s">
        <v>309</v>
      </c>
      <c r="M61" s="36" t="s">
        <v>312</v>
      </c>
    </row>
    <row r="62" spans="1:13" x14ac:dyDescent="0.35">
      <c r="A62" s="2">
        <v>401</v>
      </c>
      <c r="B62" s="58" t="s">
        <v>214</v>
      </c>
      <c r="C62" s="23" t="s">
        <v>34</v>
      </c>
      <c r="D62" s="24" t="s">
        <v>210</v>
      </c>
      <c r="E62" s="24" t="s">
        <v>316</v>
      </c>
      <c r="F62" s="35">
        <v>44261</v>
      </c>
      <c r="G62" s="36" t="str">
        <f t="shared" ca="1" si="6"/>
        <v>5 THN 5 BLN</v>
      </c>
      <c r="H62" s="35">
        <v>36597</v>
      </c>
      <c r="I62" s="36" t="str">
        <f t="shared" ca="1" si="7"/>
        <v>26 THN 5 BLN</v>
      </c>
      <c r="J62" s="59" t="s">
        <v>317</v>
      </c>
      <c r="K62" s="40" t="s">
        <v>317</v>
      </c>
      <c r="L62" s="23" t="s">
        <v>319</v>
      </c>
      <c r="M62" s="36"/>
    </row>
    <row r="63" spans="1:13" x14ac:dyDescent="0.35">
      <c r="A63" s="2">
        <v>406</v>
      </c>
      <c r="B63" s="3" t="s">
        <v>215</v>
      </c>
      <c r="C63" s="23" t="s">
        <v>6</v>
      </c>
      <c r="D63" s="24"/>
      <c r="E63" s="24" t="s">
        <v>316</v>
      </c>
      <c r="F63" s="35">
        <v>44270</v>
      </c>
      <c r="G63" s="36" t="str">
        <f t="shared" ca="1" si="6"/>
        <v>5 THN 5 BLN</v>
      </c>
      <c r="H63" s="35">
        <v>36094</v>
      </c>
      <c r="I63" s="36" t="str">
        <f t="shared" ca="1" si="7"/>
        <v>27 THN 10 BLN</v>
      </c>
      <c r="J63" s="59" t="s">
        <v>317</v>
      </c>
      <c r="K63" s="40" t="s">
        <v>317</v>
      </c>
      <c r="L63" s="23" t="s">
        <v>308</v>
      </c>
      <c r="M63" s="36" t="s">
        <v>6</v>
      </c>
    </row>
    <row r="64" spans="1:13" x14ac:dyDescent="0.35">
      <c r="A64" s="2">
        <v>408</v>
      </c>
      <c r="B64" s="3" t="s">
        <v>216</v>
      </c>
      <c r="C64" s="23" t="s">
        <v>34</v>
      </c>
      <c r="D64" s="24" t="s">
        <v>200</v>
      </c>
      <c r="E64" s="24" t="s">
        <v>316</v>
      </c>
      <c r="F64" s="35">
        <v>44289</v>
      </c>
      <c r="G64" s="36" t="str">
        <f t="shared" ca="1" si="6"/>
        <v>5 THN 4 BLN</v>
      </c>
      <c r="H64" s="35">
        <v>37022</v>
      </c>
      <c r="I64" s="36" t="str">
        <f t="shared" ca="1" si="7"/>
        <v>25 THN 3 BLN</v>
      </c>
      <c r="J64" s="59" t="s">
        <v>317</v>
      </c>
      <c r="K64" s="40" t="s">
        <v>317</v>
      </c>
      <c r="L64" s="23" t="s">
        <v>309</v>
      </c>
      <c r="M64" s="36" t="s">
        <v>312</v>
      </c>
    </row>
    <row r="65" spans="1:13" x14ac:dyDescent="0.35">
      <c r="A65" s="2">
        <v>419</v>
      </c>
      <c r="B65" s="3" t="s">
        <v>217</v>
      </c>
      <c r="C65" s="23" t="s">
        <v>34</v>
      </c>
      <c r="D65" s="24" t="s">
        <v>198</v>
      </c>
      <c r="E65" s="24" t="s">
        <v>316</v>
      </c>
      <c r="F65" s="35">
        <v>44368</v>
      </c>
      <c r="G65" s="36" t="str">
        <f t="shared" ca="1" si="6"/>
        <v>5 THN 2 BLN</v>
      </c>
      <c r="H65" s="35">
        <v>35871</v>
      </c>
      <c r="I65" s="36" t="str">
        <f t="shared" ca="1" si="7"/>
        <v>28 THN 5 BLN</v>
      </c>
      <c r="J65" s="59" t="s">
        <v>317</v>
      </c>
      <c r="K65" s="40" t="s">
        <v>317</v>
      </c>
      <c r="L65" s="23" t="s">
        <v>313</v>
      </c>
      <c r="M65" s="36"/>
    </row>
    <row r="66" spans="1:13" x14ac:dyDescent="0.35">
      <c r="A66" s="2">
        <v>420</v>
      </c>
      <c r="B66" s="3" t="s">
        <v>218</v>
      </c>
      <c r="C66" s="23" t="s">
        <v>207</v>
      </c>
      <c r="D66" s="24"/>
      <c r="E66" s="24" t="s">
        <v>316</v>
      </c>
      <c r="F66" s="35">
        <v>44369</v>
      </c>
      <c r="G66" s="36" t="str">
        <f t="shared" ca="1" si="6"/>
        <v>5 THN 2 BLN</v>
      </c>
      <c r="H66" s="35">
        <v>35894</v>
      </c>
      <c r="I66" s="36" t="str">
        <f t="shared" ca="1" si="7"/>
        <v>28 THN 4 BLN</v>
      </c>
      <c r="J66" s="59" t="s">
        <v>317</v>
      </c>
      <c r="K66" s="40" t="s">
        <v>317</v>
      </c>
      <c r="L66" s="23" t="s">
        <v>309</v>
      </c>
      <c r="M66" s="36" t="s">
        <v>312</v>
      </c>
    </row>
    <row r="67" spans="1:13" x14ac:dyDescent="0.35">
      <c r="A67" s="2">
        <v>421</v>
      </c>
      <c r="B67" s="3" t="s">
        <v>219</v>
      </c>
      <c r="C67" s="23" t="s">
        <v>16</v>
      </c>
      <c r="D67" s="24"/>
      <c r="E67" s="24" t="s">
        <v>316</v>
      </c>
      <c r="F67" s="35">
        <v>44392</v>
      </c>
      <c r="G67" s="36" t="str">
        <f t="shared" ca="1" si="6"/>
        <v>5 THN 1 BLN</v>
      </c>
      <c r="H67" s="35">
        <v>35338</v>
      </c>
      <c r="I67" s="36" t="str">
        <f t="shared" ca="1" si="7"/>
        <v>29 THN 10 BLN</v>
      </c>
      <c r="J67" s="59" t="s">
        <v>317</v>
      </c>
      <c r="K67" s="40" t="s">
        <v>317</v>
      </c>
      <c r="L67" s="23" t="s">
        <v>309</v>
      </c>
      <c r="M67" s="36" t="s">
        <v>311</v>
      </c>
    </row>
    <row r="68" spans="1:13" x14ac:dyDescent="0.35">
      <c r="A68" s="2">
        <v>425</v>
      </c>
      <c r="B68" s="3" t="s">
        <v>220</v>
      </c>
      <c r="C68" s="23" t="s">
        <v>88</v>
      </c>
      <c r="D68" s="24"/>
      <c r="E68" s="24" t="s">
        <v>316</v>
      </c>
      <c r="F68" s="39" t="s">
        <v>320</v>
      </c>
      <c r="G68" s="36" t="str">
        <f t="shared" ca="1" si="6"/>
        <v>5 THN 1 BLN</v>
      </c>
      <c r="H68" s="35">
        <v>32559</v>
      </c>
      <c r="I68" s="36" t="str">
        <f t="shared" ca="1" si="7"/>
        <v>37 THN 6 BLN</v>
      </c>
      <c r="J68" s="59" t="s">
        <v>317</v>
      </c>
      <c r="K68" s="40" t="s">
        <v>317</v>
      </c>
      <c r="L68" s="23" t="s">
        <v>313</v>
      </c>
      <c r="M68" s="51"/>
    </row>
    <row r="69" spans="1:13" x14ac:dyDescent="0.35">
      <c r="A69" s="2">
        <v>426</v>
      </c>
      <c r="B69" s="3" t="s">
        <v>221</v>
      </c>
      <c r="C69" s="23" t="s">
        <v>34</v>
      </c>
      <c r="D69" s="24" t="s">
        <v>194</v>
      </c>
      <c r="E69" s="24" t="s">
        <v>316</v>
      </c>
      <c r="F69" s="39" t="s">
        <v>321</v>
      </c>
      <c r="G69" s="36" t="str">
        <f t="shared" ca="1" si="6"/>
        <v>5 THN 0 BLN</v>
      </c>
      <c r="H69" s="35">
        <v>35140</v>
      </c>
      <c r="I69" s="36" t="str">
        <f t="shared" ca="1" si="7"/>
        <v>30 THN 5 BLN</v>
      </c>
      <c r="J69" s="59" t="s">
        <v>317</v>
      </c>
      <c r="K69" s="40" t="s">
        <v>317</v>
      </c>
      <c r="L69" s="23" t="s">
        <v>313</v>
      </c>
      <c r="M69" s="51"/>
    </row>
    <row r="70" spans="1:13" x14ac:dyDescent="0.35">
      <c r="A70" s="2">
        <v>428</v>
      </c>
      <c r="B70" s="3" t="s">
        <v>222</v>
      </c>
      <c r="C70" s="23" t="s">
        <v>34</v>
      </c>
      <c r="D70" s="24" t="s">
        <v>223</v>
      </c>
      <c r="E70" s="24" t="s">
        <v>316</v>
      </c>
      <c r="F70" s="39" t="s">
        <v>321</v>
      </c>
      <c r="G70" s="36" t="str">
        <f t="shared" ca="1" si="6"/>
        <v>5 THN 0 BLN</v>
      </c>
      <c r="H70" s="35">
        <v>30333</v>
      </c>
      <c r="I70" s="36" t="str">
        <f t="shared" ca="1" si="7"/>
        <v>43 THN 7 BLN</v>
      </c>
      <c r="J70" s="59" t="s">
        <v>317</v>
      </c>
      <c r="K70" s="40" t="s">
        <v>317</v>
      </c>
      <c r="L70" s="23" t="s">
        <v>313</v>
      </c>
      <c r="M70" s="51"/>
    </row>
    <row r="71" spans="1:13" x14ac:dyDescent="0.35">
      <c r="A71" s="2">
        <v>430</v>
      </c>
      <c r="B71" s="3" t="s">
        <v>224</v>
      </c>
      <c r="C71" s="23" t="s">
        <v>88</v>
      </c>
      <c r="D71" s="24"/>
      <c r="E71" s="24" t="s">
        <v>316</v>
      </c>
      <c r="F71" s="35">
        <v>44434</v>
      </c>
      <c r="G71" s="36" t="str">
        <f t="shared" ca="1" si="6"/>
        <v>5 THN 0 BLN</v>
      </c>
      <c r="H71" s="35">
        <v>36159</v>
      </c>
      <c r="I71" s="36" t="str">
        <f t="shared" ca="1" si="7"/>
        <v>27 THN 7 BLN</v>
      </c>
      <c r="J71" s="59" t="s">
        <v>317</v>
      </c>
      <c r="K71" s="40" t="s">
        <v>317</v>
      </c>
      <c r="L71" s="23" t="s">
        <v>313</v>
      </c>
      <c r="M71" s="51"/>
    </row>
    <row r="72" spans="1:13" x14ac:dyDescent="0.35">
      <c r="A72" s="2">
        <v>434</v>
      </c>
      <c r="B72" s="3" t="s">
        <v>225</v>
      </c>
      <c r="C72" s="23" t="s">
        <v>90</v>
      </c>
      <c r="D72" s="24"/>
      <c r="E72" s="24" t="s">
        <v>316</v>
      </c>
      <c r="F72" s="39" t="s">
        <v>322</v>
      </c>
      <c r="G72" s="36" t="str">
        <f t="shared" ca="1" si="6"/>
        <v>4 THN 11 BLN</v>
      </c>
      <c r="H72" s="35">
        <v>36542</v>
      </c>
      <c r="I72" s="36" t="str">
        <f t="shared" ca="1" si="7"/>
        <v>26 THN 7 BLN</v>
      </c>
      <c r="J72" s="59" t="s">
        <v>317</v>
      </c>
      <c r="K72" s="40" t="s">
        <v>317</v>
      </c>
      <c r="L72" s="23" t="s">
        <v>309</v>
      </c>
      <c r="M72" s="36" t="s">
        <v>312</v>
      </c>
    </row>
    <row r="73" spans="1:13" x14ac:dyDescent="0.35">
      <c r="A73" s="2">
        <v>448</v>
      </c>
      <c r="B73" s="3" t="s">
        <v>226</v>
      </c>
      <c r="C73" s="23" t="s">
        <v>192</v>
      </c>
      <c r="D73" s="24"/>
      <c r="E73" s="24" t="s">
        <v>316</v>
      </c>
      <c r="F73" s="39" t="s">
        <v>323</v>
      </c>
      <c r="G73" s="36" t="str">
        <f t="shared" ca="1" si="6"/>
        <v>4 THN 10 BLN</v>
      </c>
      <c r="H73" s="35">
        <v>37472</v>
      </c>
      <c r="I73" s="36" t="str">
        <f t="shared" ca="1" si="7"/>
        <v>24 THN 0 BLN</v>
      </c>
      <c r="J73" s="59" t="s">
        <v>317</v>
      </c>
      <c r="K73" s="40" t="s">
        <v>317</v>
      </c>
      <c r="L73" s="23" t="s">
        <v>313</v>
      </c>
      <c r="M73" s="36"/>
    </row>
    <row r="74" spans="1:13" x14ac:dyDescent="0.35">
      <c r="A74" s="2">
        <v>457</v>
      </c>
      <c r="B74" s="3" t="s">
        <v>227</v>
      </c>
      <c r="C74" s="23" t="s">
        <v>6</v>
      </c>
      <c r="D74" s="24" t="s">
        <v>192</v>
      </c>
      <c r="E74" s="24" t="s">
        <v>316</v>
      </c>
      <c r="F74" s="35">
        <v>44543</v>
      </c>
      <c r="G74" s="36" t="str">
        <f t="shared" ca="1" si="6"/>
        <v>4 THN 8 BLN</v>
      </c>
      <c r="H74" s="35">
        <v>34717</v>
      </c>
      <c r="I74" s="36" t="str">
        <f t="shared" ca="1" si="7"/>
        <v>31 THN 7 BLN</v>
      </c>
      <c r="J74" s="59" t="s">
        <v>317</v>
      </c>
      <c r="K74" s="40" t="s">
        <v>317</v>
      </c>
      <c r="L74" s="23" t="s">
        <v>308</v>
      </c>
      <c r="M74" s="36" t="s">
        <v>6</v>
      </c>
    </row>
    <row r="75" spans="1:13" x14ac:dyDescent="0.35">
      <c r="A75" s="2">
        <v>459</v>
      </c>
      <c r="B75" s="3" t="s">
        <v>228</v>
      </c>
      <c r="C75" s="23" t="s">
        <v>16</v>
      </c>
      <c r="D75" s="24" t="s">
        <v>229</v>
      </c>
      <c r="E75" s="24" t="s">
        <v>316</v>
      </c>
      <c r="F75" s="35">
        <v>44550</v>
      </c>
      <c r="G75" s="36" t="str">
        <f t="shared" ca="1" si="6"/>
        <v>4 THN 8 BLN</v>
      </c>
      <c r="H75" s="35">
        <v>28824</v>
      </c>
      <c r="I75" s="36" t="str">
        <f t="shared" ca="1" si="7"/>
        <v>47 THN 8 BLN</v>
      </c>
      <c r="J75" s="60">
        <v>45979</v>
      </c>
      <c r="K75" s="40" t="s">
        <v>317</v>
      </c>
      <c r="L75" s="23" t="s">
        <v>309</v>
      </c>
      <c r="M75" s="36" t="s">
        <v>311</v>
      </c>
    </row>
    <row r="76" spans="1:13" x14ac:dyDescent="0.35">
      <c r="A76" s="2">
        <v>476</v>
      </c>
      <c r="B76" s="58" t="s">
        <v>230</v>
      </c>
      <c r="C76" s="23" t="s">
        <v>25</v>
      </c>
      <c r="D76" s="24"/>
      <c r="E76" s="24" t="s">
        <v>316</v>
      </c>
      <c r="F76" s="35">
        <v>44700</v>
      </c>
      <c r="G76" s="36" t="str">
        <f t="shared" ca="1" si="6"/>
        <v>4 THN 3 BLN</v>
      </c>
      <c r="H76" s="35">
        <v>36947</v>
      </c>
      <c r="I76" s="36" t="str">
        <f t="shared" ca="1" si="7"/>
        <v>25 THN 6 BLN</v>
      </c>
      <c r="J76" s="59" t="s">
        <v>317</v>
      </c>
      <c r="K76" s="40" t="s">
        <v>317</v>
      </c>
      <c r="L76" s="23" t="s">
        <v>319</v>
      </c>
      <c r="M76" s="36"/>
    </row>
    <row r="77" spans="1:13" x14ac:dyDescent="0.35">
      <c r="A77" s="2">
        <v>479</v>
      </c>
      <c r="B77" s="3" t="s">
        <v>231</v>
      </c>
      <c r="C77" s="23" t="s">
        <v>6</v>
      </c>
      <c r="D77" s="28"/>
      <c r="E77" s="24" t="s">
        <v>316</v>
      </c>
      <c r="F77" s="38">
        <v>44719</v>
      </c>
      <c r="G77" s="36" t="str">
        <f t="shared" ca="1" si="6"/>
        <v>4 THN 2 BLN</v>
      </c>
      <c r="H77" s="35">
        <v>31872</v>
      </c>
      <c r="I77" s="36" t="str">
        <f t="shared" ca="1" si="7"/>
        <v>39 THN 4 BLN</v>
      </c>
      <c r="J77" s="59" t="s">
        <v>317</v>
      </c>
      <c r="K77" s="40" t="s">
        <v>317</v>
      </c>
      <c r="L77" s="23" t="s">
        <v>308</v>
      </c>
      <c r="M77" s="36" t="s">
        <v>6</v>
      </c>
    </row>
    <row r="78" spans="1:13" x14ac:dyDescent="0.35">
      <c r="A78" s="2">
        <v>485</v>
      </c>
      <c r="B78" s="3" t="s">
        <v>232</v>
      </c>
      <c r="C78" s="23" t="s">
        <v>192</v>
      </c>
      <c r="D78" s="24"/>
      <c r="E78" s="24" t="s">
        <v>316</v>
      </c>
      <c r="F78" s="39" t="s">
        <v>324</v>
      </c>
      <c r="G78" s="36" t="str">
        <f t="shared" ca="1" si="6"/>
        <v>4 THN 1 BLN</v>
      </c>
      <c r="H78" s="35">
        <v>37358</v>
      </c>
      <c r="I78" s="36" t="str">
        <f t="shared" ca="1" si="7"/>
        <v>24 THN 4 BLN</v>
      </c>
      <c r="J78" s="59" t="s">
        <v>317</v>
      </c>
      <c r="K78" s="40" t="s">
        <v>317</v>
      </c>
      <c r="L78" s="23" t="s">
        <v>313</v>
      </c>
      <c r="M78" s="36"/>
    </row>
    <row r="79" spans="1:13" x14ac:dyDescent="0.35">
      <c r="A79" s="2">
        <v>487</v>
      </c>
      <c r="B79" s="3" t="s">
        <v>233</v>
      </c>
      <c r="C79" s="23" t="s">
        <v>88</v>
      </c>
      <c r="D79" s="24"/>
      <c r="E79" s="24" t="s">
        <v>316</v>
      </c>
      <c r="F79" s="39" t="s">
        <v>325</v>
      </c>
      <c r="G79" s="36" t="str">
        <f t="shared" ca="1" si="6"/>
        <v>4 THN 1 BLN</v>
      </c>
      <c r="H79" s="35">
        <v>37795</v>
      </c>
      <c r="I79" s="36" t="str">
        <f t="shared" ca="1" si="7"/>
        <v>23 THN 2 BLN</v>
      </c>
      <c r="J79" s="59" t="s">
        <v>317</v>
      </c>
      <c r="K79" s="40" t="s">
        <v>317</v>
      </c>
      <c r="L79" s="23" t="s">
        <v>313</v>
      </c>
      <c r="M79" s="36"/>
    </row>
    <row r="80" spans="1:13" x14ac:dyDescent="0.35">
      <c r="A80" s="2">
        <v>488</v>
      </c>
      <c r="B80" s="3" t="s">
        <v>234</v>
      </c>
      <c r="C80" s="23" t="s">
        <v>25</v>
      </c>
      <c r="D80" s="24"/>
      <c r="E80" s="24" t="s">
        <v>316</v>
      </c>
      <c r="F80" s="35">
        <v>44760</v>
      </c>
      <c r="G80" s="36" t="str">
        <f t="shared" ca="1" si="6"/>
        <v>4 THN 1 BLN</v>
      </c>
      <c r="H80" s="35">
        <v>38159</v>
      </c>
      <c r="I80" s="36" t="str">
        <f t="shared" ca="1" si="7"/>
        <v>22 THN 2 BLN</v>
      </c>
      <c r="J80" s="59" t="s">
        <v>317</v>
      </c>
      <c r="K80" s="40" t="s">
        <v>317</v>
      </c>
      <c r="L80" s="23" t="s">
        <v>309</v>
      </c>
      <c r="M80" s="36" t="s">
        <v>312</v>
      </c>
    </row>
    <row r="81" spans="1:13" x14ac:dyDescent="0.35">
      <c r="A81" s="2">
        <v>493</v>
      </c>
      <c r="B81" s="3" t="s">
        <v>235</v>
      </c>
      <c r="C81" s="23" t="s">
        <v>33</v>
      </c>
      <c r="D81" s="24"/>
      <c r="E81" s="24" t="s">
        <v>316</v>
      </c>
      <c r="F81" s="35">
        <v>44816</v>
      </c>
      <c r="G81" s="36" t="str">
        <f t="shared" ca="1" si="6"/>
        <v>3 THN 11 BLN</v>
      </c>
      <c r="H81" s="35">
        <v>38081</v>
      </c>
      <c r="I81" s="36" t="str">
        <f t="shared" ca="1" si="7"/>
        <v>22 THN 4 BLN</v>
      </c>
      <c r="J81" s="59" t="s">
        <v>317</v>
      </c>
      <c r="K81" s="40" t="s">
        <v>317</v>
      </c>
      <c r="L81" s="23" t="s">
        <v>309</v>
      </c>
      <c r="M81" s="36" t="s">
        <v>312</v>
      </c>
    </row>
    <row r="82" spans="1:13" x14ac:dyDescent="0.35">
      <c r="A82" s="2">
        <v>498</v>
      </c>
      <c r="B82" s="3" t="s">
        <v>236</v>
      </c>
      <c r="C82" s="23" t="s">
        <v>6</v>
      </c>
      <c r="D82" s="24" t="s">
        <v>192</v>
      </c>
      <c r="E82" s="24" t="s">
        <v>316</v>
      </c>
      <c r="F82" s="35">
        <v>44848</v>
      </c>
      <c r="G82" s="36" t="str">
        <f t="shared" ca="1" si="6"/>
        <v>3 THN 10 BLN</v>
      </c>
      <c r="H82" s="35">
        <v>32841</v>
      </c>
      <c r="I82" s="36" t="str">
        <f t="shared" ca="1" si="7"/>
        <v>36 THN 9 BLN</v>
      </c>
      <c r="J82" s="59" t="s">
        <v>317</v>
      </c>
      <c r="K82" s="40" t="s">
        <v>317</v>
      </c>
      <c r="L82" s="23" t="s">
        <v>308</v>
      </c>
      <c r="M82" s="36" t="s">
        <v>6</v>
      </c>
    </row>
    <row r="83" spans="1:13" x14ac:dyDescent="0.35">
      <c r="A83" s="2">
        <v>499</v>
      </c>
      <c r="B83" s="3" t="s">
        <v>237</v>
      </c>
      <c r="C83" s="23" t="s">
        <v>69</v>
      </c>
      <c r="D83" s="24"/>
      <c r="E83" s="24" t="s">
        <v>316</v>
      </c>
      <c r="F83" s="35">
        <v>44862</v>
      </c>
      <c r="G83" s="36" t="str">
        <f t="shared" ca="1" si="6"/>
        <v>3 THN 10 BLN</v>
      </c>
      <c r="H83" s="35">
        <v>37002</v>
      </c>
      <c r="I83" s="36" t="str">
        <f t="shared" ca="1" si="7"/>
        <v>25 THN 4 BLN</v>
      </c>
      <c r="J83" s="59" t="s">
        <v>317</v>
      </c>
      <c r="K83" s="40" t="s">
        <v>317</v>
      </c>
      <c r="L83" s="23" t="s">
        <v>309</v>
      </c>
      <c r="M83" s="36" t="s">
        <v>311</v>
      </c>
    </row>
    <row r="84" spans="1:13" x14ac:dyDescent="0.35">
      <c r="A84" s="2">
        <v>500</v>
      </c>
      <c r="B84" s="3" t="s">
        <v>238</v>
      </c>
      <c r="C84" s="23" t="s">
        <v>6</v>
      </c>
      <c r="D84" s="24" t="s">
        <v>192</v>
      </c>
      <c r="E84" s="24" t="s">
        <v>316</v>
      </c>
      <c r="F84" s="35">
        <v>44872</v>
      </c>
      <c r="G84" s="36" t="str">
        <f t="shared" ca="1" si="6"/>
        <v>3 THN 9 BLN</v>
      </c>
      <c r="H84" s="35">
        <v>34406</v>
      </c>
      <c r="I84" s="36" t="str">
        <f t="shared" ca="1" si="7"/>
        <v>32 THN 5 BLN</v>
      </c>
      <c r="J84" s="59" t="s">
        <v>317</v>
      </c>
      <c r="K84" s="40" t="s">
        <v>317</v>
      </c>
      <c r="L84" s="23" t="s">
        <v>313</v>
      </c>
      <c r="M84" s="36"/>
    </row>
    <row r="85" spans="1:13" x14ac:dyDescent="0.35">
      <c r="A85" s="2">
        <v>508</v>
      </c>
      <c r="B85" s="3" t="s">
        <v>239</v>
      </c>
      <c r="C85" s="23" t="s">
        <v>192</v>
      </c>
      <c r="D85" s="24"/>
      <c r="E85" s="24" t="s">
        <v>316</v>
      </c>
      <c r="F85" s="39" t="s">
        <v>326</v>
      </c>
      <c r="G85" s="36" t="str">
        <f t="shared" ca="1" si="6"/>
        <v>3 THN 8 BLN</v>
      </c>
      <c r="H85" s="35">
        <v>38255</v>
      </c>
      <c r="I85" s="36" t="str">
        <f t="shared" ca="1" si="7"/>
        <v>21 THN 11 BLN</v>
      </c>
      <c r="J85" s="59" t="s">
        <v>317</v>
      </c>
      <c r="K85" s="40" t="s">
        <v>317</v>
      </c>
      <c r="L85" s="23" t="s">
        <v>313</v>
      </c>
      <c r="M85" s="36"/>
    </row>
    <row r="86" spans="1:13" x14ac:dyDescent="0.35">
      <c r="A86" s="2">
        <v>510</v>
      </c>
      <c r="B86" s="3" t="s">
        <v>240</v>
      </c>
      <c r="C86" s="23" t="s">
        <v>6</v>
      </c>
      <c r="D86" s="24" t="s">
        <v>192</v>
      </c>
      <c r="E86" s="24" t="s">
        <v>316</v>
      </c>
      <c r="F86" s="35">
        <v>44942</v>
      </c>
      <c r="G86" s="36" t="str">
        <f t="shared" ca="1" si="6"/>
        <v>3 THN 7 BLN</v>
      </c>
      <c r="H86" s="35">
        <v>33332</v>
      </c>
      <c r="I86" s="36" t="str">
        <f t="shared" ca="1" si="7"/>
        <v>35 THN 4 BLN</v>
      </c>
      <c r="J86" s="59" t="s">
        <v>317</v>
      </c>
      <c r="K86" s="40" t="s">
        <v>317</v>
      </c>
      <c r="L86" s="23" t="s">
        <v>313</v>
      </c>
      <c r="M86" s="36"/>
    </row>
    <row r="87" spans="1:13" x14ac:dyDescent="0.35">
      <c r="A87" s="2">
        <v>513</v>
      </c>
      <c r="B87" s="3" t="s">
        <v>241</v>
      </c>
      <c r="C87" s="23" t="s">
        <v>6</v>
      </c>
      <c r="D87" s="24" t="s">
        <v>192</v>
      </c>
      <c r="E87" s="24" t="s">
        <v>316</v>
      </c>
      <c r="F87" s="35">
        <v>45056</v>
      </c>
      <c r="G87" s="36" t="str">
        <f t="shared" ca="1" si="6"/>
        <v>3 THN 3 BLN</v>
      </c>
      <c r="H87" s="35">
        <v>37298</v>
      </c>
      <c r="I87" s="36" t="str">
        <f t="shared" ca="1" si="7"/>
        <v>24 THN 6 BLN</v>
      </c>
      <c r="J87" s="59" t="s">
        <v>317</v>
      </c>
      <c r="K87" s="40" t="s">
        <v>317</v>
      </c>
      <c r="L87" s="23" t="s">
        <v>313</v>
      </c>
      <c r="M87" s="36"/>
    </row>
    <row r="88" spans="1:13" x14ac:dyDescent="0.35">
      <c r="A88" s="2">
        <v>514</v>
      </c>
      <c r="B88" s="3" t="s">
        <v>242</v>
      </c>
      <c r="C88" s="23" t="s">
        <v>34</v>
      </c>
      <c r="D88" s="24" t="s">
        <v>223</v>
      </c>
      <c r="E88" s="24" t="s">
        <v>316</v>
      </c>
      <c r="F88" s="39" t="s">
        <v>327</v>
      </c>
      <c r="G88" s="36" t="str">
        <f t="shared" ca="1" si="6"/>
        <v>3 THN 3 BLN</v>
      </c>
      <c r="H88" s="35">
        <v>38144</v>
      </c>
      <c r="I88" s="36" t="str">
        <f t="shared" ca="1" si="7"/>
        <v>22 THN 2 BLN</v>
      </c>
      <c r="J88" s="59" t="s">
        <v>317</v>
      </c>
      <c r="K88" s="40" t="s">
        <v>317</v>
      </c>
      <c r="L88" s="23" t="s">
        <v>313</v>
      </c>
      <c r="M88" s="36"/>
    </row>
    <row r="89" spans="1:13" x14ac:dyDescent="0.35">
      <c r="A89" s="2">
        <v>517</v>
      </c>
      <c r="B89" s="3" t="s">
        <v>243</v>
      </c>
      <c r="C89" s="23" t="s">
        <v>69</v>
      </c>
      <c r="D89" s="24"/>
      <c r="E89" s="24" t="s">
        <v>316</v>
      </c>
      <c r="F89" s="35">
        <v>45075</v>
      </c>
      <c r="G89" s="36" t="str">
        <f t="shared" ca="1" si="6"/>
        <v>3 THN 3 BLN</v>
      </c>
      <c r="H89" s="35">
        <v>36871</v>
      </c>
      <c r="I89" s="36" t="str">
        <f t="shared" ca="1" si="7"/>
        <v>25 THN 8 BLN</v>
      </c>
      <c r="J89" s="59" t="s">
        <v>317</v>
      </c>
      <c r="K89" s="40" t="s">
        <v>317</v>
      </c>
      <c r="L89" s="23" t="s">
        <v>309</v>
      </c>
      <c r="M89" s="36" t="s">
        <v>311</v>
      </c>
    </row>
    <row r="90" spans="1:13" x14ac:dyDescent="0.35">
      <c r="A90" s="2">
        <v>531</v>
      </c>
      <c r="B90" s="3" t="s">
        <v>244</v>
      </c>
      <c r="C90" s="23" t="s">
        <v>192</v>
      </c>
      <c r="D90" s="24"/>
      <c r="E90" s="24" t="s">
        <v>316</v>
      </c>
      <c r="F90" s="39" t="s">
        <v>328</v>
      </c>
      <c r="G90" s="36" t="str">
        <f t="shared" ca="1" si="6"/>
        <v>3 THN 2 BLN</v>
      </c>
      <c r="H90" s="35">
        <v>37918</v>
      </c>
      <c r="I90" s="36" t="str">
        <f t="shared" ca="1" si="7"/>
        <v>22 THN 10 BLN</v>
      </c>
      <c r="J90" s="59" t="s">
        <v>317</v>
      </c>
      <c r="K90" s="40" t="s">
        <v>317</v>
      </c>
      <c r="L90" s="23" t="s">
        <v>313</v>
      </c>
      <c r="M90" s="36"/>
    </row>
    <row r="91" spans="1:13" x14ac:dyDescent="0.35">
      <c r="A91" s="2">
        <v>534</v>
      </c>
      <c r="B91" s="3" t="s">
        <v>245</v>
      </c>
      <c r="C91" s="23" t="s">
        <v>34</v>
      </c>
      <c r="D91" s="24" t="s">
        <v>203</v>
      </c>
      <c r="E91" s="24" t="s">
        <v>316</v>
      </c>
      <c r="F91" s="39" t="s">
        <v>329</v>
      </c>
      <c r="G91" s="36" t="str">
        <f t="shared" ca="1" si="6"/>
        <v>3 THN 1 BLN</v>
      </c>
      <c r="H91" s="35">
        <v>38453</v>
      </c>
      <c r="I91" s="36" t="str">
        <f t="shared" ca="1" si="7"/>
        <v>21 THN 4 BLN</v>
      </c>
      <c r="J91" s="59" t="s">
        <v>317</v>
      </c>
      <c r="K91" s="40" t="s">
        <v>317</v>
      </c>
      <c r="L91" s="23" t="s">
        <v>313</v>
      </c>
      <c r="M91" s="36"/>
    </row>
    <row r="92" spans="1:13" x14ac:dyDescent="0.35">
      <c r="A92" s="2">
        <v>549</v>
      </c>
      <c r="B92" s="3" t="s">
        <v>246</v>
      </c>
      <c r="C92" s="23" t="s">
        <v>88</v>
      </c>
      <c r="D92" s="24"/>
      <c r="E92" s="24" t="s">
        <v>316</v>
      </c>
      <c r="F92" s="39" t="s">
        <v>330</v>
      </c>
      <c r="G92" s="36" t="str">
        <f t="shared" ca="1" si="6"/>
        <v>2 THN 8 BLN</v>
      </c>
      <c r="H92" s="35">
        <v>37295</v>
      </c>
      <c r="I92" s="36" t="str">
        <f t="shared" ca="1" si="7"/>
        <v>24 THN 6 BLN</v>
      </c>
      <c r="J92" s="59" t="s">
        <v>317</v>
      </c>
      <c r="K92" s="40" t="s">
        <v>317</v>
      </c>
      <c r="L92" s="23" t="s">
        <v>313</v>
      </c>
      <c r="M92" s="36"/>
    </row>
    <row r="93" spans="1:13" x14ac:dyDescent="0.35">
      <c r="A93" s="2">
        <v>551</v>
      </c>
      <c r="B93" s="3" t="s">
        <v>247</v>
      </c>
      <c r="C93" s="23" t="s">
        <v>192</v>
      </c>
      <c r="D93" s="24"/>
      <c r="E93" s="24" t="s">
        <v>316</v>
      </c>
      <c r="F93" s="39" t="s">
        <v>331</v>
      </c>
      <c r="G93" s="36" t="str">
        <f t="shared" ca="1" si="6"/>
        <v>2 THN 7 BLN</v>
      </c>
      <c r="H93" s="35">
        <v>37338</v>
      </c>
      <c r="I93" s="36" t="str">
        <f t="shared" ca="1" si="7"/>
        <v>24 THN 5 BLN</v>
      </c>
      <c r="J93" s="59" t="s">
        <v>317</v>
      </c>
      <c r="K93" s="40" t="s">
        <v>317</v>
      </c>
      <c r="L93" s="23" t="s">
        <v>313</v>
      </c>
      <c r="M93" s="36"/>
    </row>
    <row r="94" spans="1:13" x14ac:dyDescent="0.35">
      <c r="A94" s="2">
        <v>553</v>
      </c>
      <c r="B94" s="3" t="s">
        <v>248</v>
      </c>
      <c r="C94" s="23" t="s">
        <v>34</v>
      </c>
      <c r="D94" s="24" t="s">
        <v>204</v>
      </c>
      <c r="E94" s="24" t="s">
        <v>316</v>
      </c>
      <c r="F94" s="39" t="s">
        <v>332</v>
      </c>
      <c r="G94" s="36" t="str">
        <f t="shared" ca="1" si="6"/>
        <v>2 THN 6 BLN</v>
      </c>
      <c r="H94" s="35">
        <v>37565</v>
      </c>
      <c r="I94" s="36" t="str">
        <f t="shared" ca="1" si="7"/>
        <v>23 THN 9 BLN</v>
      </c>
      <c r="J94" s="59" t="s">
        <v>317</v>
      </c>
      <c r="K94" s="40" t="s">
        <v>317</v>
      </c>
      <c r="L94" s="23" t="s">
        <v>309</v>
      </c>
      <c r="M94" s="36" t="s">
        <v>312</v>
      </c>
    </row>
    <row r="95" spans="1:13" x14ac:dyDescent="0.35">
      <c r="A95" s="2">
        <v>558</v>
      </c>
      <c r="B95" s="3" t="s">
        <v>249</v>
      </c>
      <c r="C95" s="23" t="s">
        <v>33</v>
      </c>
      <c r="D95" s="24"/>
      <c r="E95" s="24" t="s">
        <v>316</v>
      </c>
      <c r="F95" s="39" t="s">
        <v>333</v>
      </c>
      <c r="G95" s="36" t="str">
        <f t="shared" ca="1" si="6"/>
        <v>2 THN 5 BLN</v>
      </c>
      <c r="H95" s="35">
        <v>33832</v>
      </c>
      <c r="I95" s="36" t="str">
        <f t="shared" ca="1" si="7"/>
        <v>34 THN 0 BLN</v>
      </c>
      <c r="J95" s="59" t="s">
        <v>317</v>
      </c>
      <c r="K95" s="40" t="s">
        <v>317</v>
      </c>
      <c r="L95" s="23" t="s">
        <v>309</v>
      </c>
      <c r="M95" s="36" t="s">
        <v>312</v>
      </c>
    </row>
    <row r="96" spans="1:13" x14ac:dyDescent="0.35">
      <c r="A96" s="2">
        <v>561</v>
      </c>
      <c r="B96" s="3" t="s">
        <v>250</v>
      </c>
      <c r="C96" s="23" t="s">
        <v>6</v>
      </c>
      <c r="D96" s="24"/>
      <c r="E96" s="24" t="s">
        <v>316</v>
      </c>
      <c r="F96" s="35">
        <v>45411</v>
      </c>
      <c r="G96" s="36" t="str">
        <f t="shared" ca="1" si="6"/>
        <v>2 THN 4 BLN</v>
      </c>
      <c r="H96" s="35">
        <v>37122</v>
      </c>
      <c r="I96" s="36" t="str">
        <f t="shared" ca="1" si="7"/>
        <v>25 THN 0 BLN</v>
      </c>
      <c r="J96" s="59" t="s">
        <v>317</v>
      </c>
      <c r="K96" s="40" t="s">
        <v>317</v>
      </c>
      <c r="L96" s="23" t="s">
        <v>313</v>
      </c>
      <c r="M96" s="36"/>
    </row>
    <row r="97" spans="1:13" x14ac:dyDescent="0.35">
      <c r="A97" s="2">
        <v>565</v>
      </c>
      <c r="B97" s="3" t="s">
        <v>251</v>
      </c>
      <c r="C97" s="23" t="s">
        <v>34</v>
      </c>
      <c r="D97" s="24" t="s">
        <v>203</v>
      </c>
      <c r="E97" s="24" t="s">
        <v>316</v>
      </c>
      <c r="F97" s="39" t="s">
        <v>334</v>
      </c>
      <c r="G97" s="36" t="str">
        <f t="shared" ca="1" si="6"/>
        <v>2 THN 3 BLN</v>
      </c>
      <c r="H97" s="35">
        <v>38755</v>
      </c>
      <c r="I97" s="36" t="str">
        <f t="shared" ca="1" si="7"/>
        <v>20 THN 6 BLN</v>
      </c>
      <c r="J97" s="59" t="s">
        <v>317</v>
      </c>
      <c r="K97" s="40" t="s">
        <v>317</v>
      </c>
      <c r="L97" s="23" t="s">
        <v>313</v>
      </c>
      <c r="M97" s="36"/>
    </row>
    <row r="98" spans="1:13" x14ac:dyDescent="0.35">
      <c r="A98" s="2">
        <v>568</v>
      </c>
      <c r="B98" s="58" t="s">
        <v>252</v>
      </c>
      <c r="C98" s="23" t="s">
        <v>34</v>
      </c>
      <c r="D98" s="24" t="s">
        <v>253</v>
      </c>
      <c r="E98" s="24" t="s">
        <v>316</v>
      </c>
      <c r="F98" s="39" t="s">
        <v>335</v>
      </c>
      <c r="G98" s="36" t="str">
        <f t="shared" ca="1" si="6"/>
        <v>2 THN 2 BLN</v>
      </c>
      <c r="H98" s="35">
        <v>38474</v>
      </c>
      <c r="I98" s="36" t="str">
        <f t="shared" ca="1" si="7"/>
        <v>21 THN 3 BLN</v>
      </c>
      <c r="J98" s="59" t="s">
        <v>317</v>
      </c>
      <c r="K98" s="40" t="s">
        <v>317</v>
      </c>
      <c r="L98" s="23" t="s">
        <v>319</v>
      </c>
      <c r="M98" s="36"/>
    </row>
    <row r="99" spans="1:13" x14ac:dyDescent="0.35">
      <c r="A99" s="2">
        <v>574</v>
      </c>
      <c r="B99" s="3" t="s">
        <v>254</v>
      </c>
      <c r="C99" s="23" t="s">
        <v>6</v>
      </c>
      <c r="D99" s="24"/>
      <c r="E99" s="24" t="s">
        <v>316</v>
      </c>
      <c r="F99" s="35">
        <v>45475</v>
      </c>
      <c r="G99" s="36" t="str">
        <f t="shared" ca="1" si="6"/>
        <v>2 THN 1 BLN</v>
      </c>
      <c r="H99" s="35">
        <v>35715</v>
      </c>
      <c r="I99" s="36" t="str">
        <f t="shared" ca="1" si="7"/>
        <v>28 THN 10 BLN</v>
      </c>
      <c r="J99" s="59" t="s">
        <v>317</v>
      </c>
      <c r="K99" s="40" t="s">
        <v>317</v>
      </c>
      <c r="L99" s="23" t="s">
        <v>313</v>
      </c>
      <c r="M99" s="36"/>
    </row>
    <row r="100" spans="1:13" x14ac:dyDescent="0.35">
      <c r="A100" s="2">
        <v>575</v>
      </c>
      <c r="B100" s="58" t="s">
        <v>255</v>
      </c>
      <c r="C100" s="23" t="s">
        <v>25</v>
      </c>
      <c r="D100" s="24"/>
      <c r="E100" s="24" t="s">
        <v>316</v>
      </c>
      <c r="F100" s="39" t="s">
        <v>336</v>
      </c>
      <c r="G100" s="36" t="str">
        <f t="shared" ca="1" si="6"/>
        <v>2 THN 1 BLN</v>
      </c>
      <c r="H100" s="35">
        <v>38029</v>
      </c>
      <c r="I100" s="36" t="str">
        <f t="shared" ca="1" si="7"/>
        <v>22 THN 6 BLN</v>
      </c>
      <c r="J100" s="59" t="s">
        <v>317</v>
      </c>
      <c r="K100" s="40" t="s">
        <v>317</v>
      </c>
      <c r="L100" s="23" t="s">
        <v>319</v>
      </c>
      <c r="M100" s="36"/>
    </row>
    <row r="101" spans="1:13" x14ac:dyDescent="0.35">
      <c r="A101" s="2">
        <v>586</v>
      </c>
      <c r="B101" s="3" t="s">
        <v>256</v>
      </c>
      <c r="C101" s="23" t="s">
        <v>34</v>
      </c>
      <c r="D101" s="24" t="s">
        <v>203</v>
      </c>
      <c r="E101" s="24" t="s">
        <v>316</v>
      </c>
      <c r="F101" s="39" t="s">
        <v>337</v>
      </c>
      <c r="G101" s="36" t="str">
        <f t="shared" ca="1" si="6"/>
        <v>2 THN 0 BLN</v>
      </c>
      <c r="H101" s="35">
        <v>37663</v>
      </c>
      <c r="I101" s="36" t="str">
        <f t="shared" ca="1" si="7"/>
        <v>23 THN 6 BLN</v>
      </c>
      <c r="J101" s="59" t="s">
        <v>317</v>
      </c>
      <c r="K101" s="40" t="s">
        <v>317</v>
      </c>
      <c r="L101" s="23" t="s">
        <v>313</v>
      </c>
      <c r="M101" s="36"/>
    </row>
    <row r="102" spans="1:13" x14ac:dyDescent="0.35">
      <c r="A102" s="2">
        <v>588</v>
      </c>
      <c r="B102" s="3" t="s">
        <v>257</v>
      </c>
      <c r="C102" s="23" t="s">
        <v>88</v>
      </c>
      <c r="D102" s="24"/>
      <c r="E102" s="24" t="s">
        <v>316</v>
      </c>
      <c r="F102" s="39" t="s">
        <v>338</v>
      </c>
      <c r="G102" s="36" t="str">
        <f t="shared" ca="1" si="6"/>
        <v>2 THN 0 BLN</v>
      </c>
      <c r="H102" s="35">
        <v>36708</v>
      </c>
      <c r="I102" s="36" t="str">
        <f t="shared" ca="1" si="7"/>
        <v>26 THN 1 BLN</v>
      </c>
      <c r="J102" s="59" t="s">
        <v>317</v>
      </c>
      <c r="K102" s="40" t="s">
        <v>317</v>
      </c>
      <c r="L102" s="23" t="s">
        <v>313</v>
      </c>
      <c r="M102" s="36"/>
    </row>
    <row r="103" spans="1:13" x14ac:dyDescent="0.35">
      <c r="A103" s="2">
        <v>589</v>
      </c>
      <c r="B103" s="3" t="s">
        <v>258</v>
      </c>
      <c r="C103" s="23" t="s">
        <v>88</v>
      </c>
      <c r="D103" s="24"/>
      <c r="E103" s="24" t="s">
        <v>316</v>
      </c>
      <c r="F103" s="39" t="s">
        <v>338</v>
      </c>
      <c r="G103" s="36" t="str">
        <f t="shared" ca="1" si="6"/>
        <v>2 THN 0 BLN</v>
      </c>
      <c r="H103" s="35">
        <v>33906</v>
      </c>
      <c r="I103" s="36" t="str">
        <f t="shared" ca="1" si="7"/>
        <v>33 THN 10 BLN</v>
      </c>
      <c r="J103" s="59" t="s">
        <v>317</v>
      </c>
      <c r="K103" s="40" t="s">
        <v>317</v>
      </c>
      <c r="L103" s="23" t="s">
        <v>313</v>
      </c>
      <c r="M103" s="36"/>
    </row>
    <row r="104" spans="1:13" x14ac:dyDescent="0.35">
      <c r="A104" s="2">
        <v>591</v>
      </c>
      <c r="B104" s="3" t="s">
        <v>259</v>
      </c>
      <c r="C104" s="23" t="s">
        <v>33</v>
      </c>
      <c r="D104" s="24"/>
      <c r="E104" s="24" t="s">
        <v>316</v>
      </c>
      <c r="F104" s="39" t="s">
        <v>339</v>
      </c>
      <c r="G104" s="36" t="str">
        <f t="shared" ca="1" si="6"/>
        <v>2 THN 0 BLN</v>
      </c>
      <c r="H104" s="35">
        <v>34131</v>
      </c>
      <c r="I104" s="36" t="str">
        <f t="shared" ca="1" si="7"/>
        <v>33 THN 2 BLN</v>
      </c>
      <c r="J104" s="59" t="s">
        <v>317</v>
      </c>
      <c r="K104" s="40" t="s">
        <v>317</v>
      </c>
      <c r="L104" s="23" t="s">
        <v>309</v>
      </c>
      <c r="M104" s="36" t="s">
        <v>312</v>
      </c>
    </row>
    <row r="105" spans="1:13" x14ac:dyDescent="0.35">
      <c r="A105" s="2">
        <v>594</v>
      </c>
      <c r="B105" s="3" t="s">
        <v>260</v>
      </c>
      <c r="C105" s="23" t="s">
        <v>199</v>
      </c>
      <c r="D105" s="24"/>
      <c r="E105" s="24" t="s">
        <v>316</v>
      </c>
      <c r="F105" s="35">
        <v>45532</v>
      </c>
      <c r="G105" s="36" t="str">
        <f t="shared" ca="1" si="6"/>
        <v>2 THN 0 BLN</v>
      </c>
      <c r="H105" s="35">
        <v>33466</v>
      </c>
      <c r="I105" s="36" t="str">
        <f t="shared" ca="1" si="7"/>
        <v>35 THN 0 BLN</v>
      </c>
      <c r="J105" s="59" t="s">
        <v>317</v>
      </c>
      <c r="K105" s="40" t="s">
        <v>317</v>
      </c>
      <c r="L105" s="23" t="s">
        <v>313</v>
      </c>
      <c r="M105" s="36"/>
    </row>
    <row r="106" spans="1:13" x14ac:dyDescent="0.35">
      <c r="A106" s="2">
        <v>595</v>
      </c>
      <c r="B106" s="3" t="s">
        <v>261</v>
      </c>
      <c r="C106" s="23" t="s">
        <v>199</v>
      </c>
      <c r="D106" s="24"/>
      <c r="E106" s="24" t="s">
        <v>316</v>
      </c>
      <c r="F106" s="35">
        <v>45532</v>
      </c>
      <c r="G106" s="36" t="str">
        <f t="shared" ca="1" si="6"/>
        <v>2 THN 0 BLN</v>
      </c>
      <c r="H106" s="35">
        <v>31422</v>
      </c>
      <c r="I106" s="36" t="str">
        <f t="shared" ca="1" si="7"/>
        <v>40 THN 7 BLN</v>
      </c>
      <c r="J106" s="59" t="s">
        <v>317</v>
      </c>
      <c r="K106" s="40" t="s">
        <v>317</v>
      </c>
      <c r="L106" s="23" t="s">
        <v>313</v>
      </c>
      <c r="M106" s="36"/>
    </row>
    <row r="107" spans="1:13" x14ac:dyDescent="0.35">
      <c r="A107" s="2">
        <v>597</v>
      </c>
      <c r="B107" s="3" t="s">
        <v>262</v>
      </c>
      <c r="C107" s="23" t="s">
        <v>34</v>
      </c>
      <c r="D107" s="24"/>
      <c r="E107" s="24" t="s">
        <v>316</v>
      </c>
      <c r="F107" s="35">
        <v>45536</v>
      </c>
      <c r="G107" s="36" t="str">
        <f t="shared" ca="1" si="6"/>
        <v>1 THN 11 BLN</v>
      </c>
      <c r="H107" s="35">
        <v>38851</v>
      </c>
      <c r="I107" s="36" t="str">
        <f t="shared" ca="1" si="7"/>
        <v>20 THN 3 BLN</v>
      </c>
      <c r="J107" s="59" t="s">
        <v>317</v>
      </c>
      <c r="K107" s="40" t="s">
        <v>317</v>
      </c>
      <c r="L107" s="23" t="s">
        <v>313</v>
      </c>
      <c r="M107" s="36"/>
    </row>
    <row r="108" spans="1:13" x14ac:dyDescent="0.35">
      <c r="A108" s="2">
        <v>598</v>
      </c>
      <c r="B108" s="58" t="s">
        <v>263</v>
      </c>
      <c r="C108" s="23" t="s">
        <v>25</v>
      </c>
      <c r="D108" s="24"/>
      <c r="E108" s="24" t="s">
        <v>316</v>
      </c>
      <c r="F108" s="35">
        <v>45536</v>
      </c>
      <c r="G108" s="36" t="str">
        <f t="shared" ca="1" si="6"/>
        <v>1 THN 11 BLN</v>
      </c>
      <c r="H108" s="35">
        <v>38770</v>
      </c>
      <c r="I108" s="36" t="str">
        <f t="shared" ca="1" si="7"/>
        <v>20 THN 6 BLN</v>
      </c>
      <c r="J108" s="59" t="s">
        <v>317</v>
      </c>
      <c r="K108" s="40" t="s">
        <v>317</v>
      </c>
      <c r="L108" s="23" t="s">
        <v>319</v>
      </c>
      <c r="M108" s="36"/>
    </row>
    <row r="109" spans="1:13" x14ac:dyDescent="0.35">
      <c r="A109" s="2">
        <v>608</v>
      </c>
      <c r="B109" s="3" t="s">
        <v>264</v>
      </c>
      <c r="C109" s="23" t="s">
        <v>25</v>
      </c>
      <c r="D109" s="24"/>
      <c r="E109" s="24" t="s">
        <v>316</v>
      </c>
      <c r="F109" s="39" t="s">
        <v>345</v>
      </c>
      <c r="G109" s="36" t="str">
        <f t="shared" ca="1" si="6"/>
        <v>1 THN 10 BLN</v>
      </c>
      <c r="H109" s="35">
        <v>36104</v>
      </c>
      <c r="I109" s="36" t="str">
        <f t="shared" ca="1" si="7"/>
        <v>27 THN 9 BLN</v>
      </c>
      <c r="J109" s="59" t="s">
        <v>317</v>
      </c>
      <c r="K109" s="40" t="s">
        <v>317</v>
      </c>
      <c r="L109" s="23" t="s">
        <v>309</v>
      </c>
      <c r="M109" s="36" t="s">
        <v>312</v>
      </c>
    </row>
    <row r="110" spans="1:13" x14ac:dyDescent="0.35">
      <c r="A110" s="2">
        <v>611</v>
      </c>
      <c r="B110" s="3" t="s">
        <v>265</v>
      </c>
      <c r="C110" s="23" t="s">
        <v>207</v>
      </c>
      <c r="D110" s="24"/>
      <c r="E110" s="24" t="s">
        <v>316</v>
      </c>
      <c r="F110" s="39" t="s">
        <v>346</v>
      </c>
      <c r="G110" s="36" t="str">
        <f t="shared" ca="1" si="6"/>
        <v>1 THN 10 BLN</v>
      </c>
      <c r="H110" s="35">
        <v>34927</v>
      </c>
      <c r="I110" s="36" t="str">
        <f t="shared" ca="1" si="7"/>
        <v>31 THN 0 BLN</v>
      </c>
      <c r="J110" s="59" t="s">
        <v>317</v>
      </c>
      <c r="K110" s="40" t="s">
        <v>317</v>
      </c>
      <c r="L110" s="23" t="s">
        <v>309</v>
      </c>
      <c r="M110" s="36" t="s">
        <v>312</v>
      </c>
    </row>
    <row r="111" spans="1:13" x14ac:dyDescent="0.35">
      <c r="A111" s="2">
        <v>614</v>
      </c>
      <c r="B111" s="3" t="s">
        <v>266</v>
      </c>
      <c r="C111" s="23" t="s">
        <v>34</v>
      </c>
      <c r="D111" s="24" t="s">
        <v>204</v>
      </c>
      <c r="E111" s="24" t="s">
        <v>316</v>
      </c>
      <c r="F111" s="39" t="s">
        <v>347</v>
      </c>
      <c r="G111" s="36" t="str">
        <f t="shared" ref="G111:G148" ca="1" si="8">DATEDIF(F111,TODAY(),"Y")&amp; " THN "&amp;DATEDIF(F111,TODAY(),"YM")&amp;" BLN"</f>
        <v>1 THN 8 BLN</v>
      </c>
      <c r="H111" s="35">
        <v>38716</v>
      </c>
      <c r="I111" s="36" t="str">
        <f t="shared" ref="I111:I148" ca="1" si="9">DATEDIF(H111,TODAY(),"Y")&amp; " THN "&amp;DATEDIF(H111,TODAY(),"YM")&amp;" BLN"</f>
        <v>20 THN 7 BLN</v>
      </c>
      <c r="J111" s="59" t="s">
        <v>317</v>
      </c>
      <c r="K111" s="40" t="s">
        <v>313</v>
      </c>
      <c r="L111" s="23" t="s">
        <v>313</v>
      </c>
      <c r="M111" s="36"/>
    </row>
    <row r="112" spans="1:13" x14ac:dyDescent="0.35">
      <c r="A112" s="2">
        <v>616</v>
      </c>
      <c r="B112" s="3" t="s">
        <v>267</v>
      </c>
      <c r="C112" s="23" t="s">
        <v>6</v>
      </c>
      <c r="D112" s="24"/>
      <c r="E112" s="24" t="s">
        <v>316</v>
      </c>
      <c r="F112" s="35">
        <v>45644</v>
      </c>
      <c r="G112" s="36" t="str">
        <f t="shared" ca="1" si="8"/>
        <v>1 THN 8 BLN</v>
      </c>
      <c r="H112" s="35">
        <v>35577</v>
      </c>
      <c r="I112" s="36" t="str">
        <f t="shared" ca="1" si="9"/>
        <v>29 THN 3 BLN</v>
      </c>
      <c r="J112" s="59" t="s">
        <v>317</v>
      </c>
      <c r="K112" s="40" t="s">
        <v>317</v>
      </c>
      <c r="L112" s="23" t="s">
        <v>313</v>
      </c>
      <c r="M112" s="36"/>
    </row>
    <row r="113" spans="1:13" x14ac:dyDescent="0.35">
      <c r="A113" s="2">
        <v>617</v>
      </c>
      <c r="B113" s="3" t="s">
        <v>268</v>
      </c>
      <c r="C113" s="23" t="s">
        <v>6</v>
      </c>
      <c r="D113" s="24"/>
      <c r="E113" s="24" t="s">
        <v>316</v>
      </c>
      <c r="F113" s="35">
        <v>45644</v>
      </c>
      <c r="G113" s="36" t="str">
        <f t="shared" ca="1" si="8"/>
        <v>1 THN 8 BLN</v>
      </c>
      <c r="H113" s="35">
        <v>38822</v>
      </c>
      <c r="I113" s="36" t="str">
        <f t="shared" ca="1" si="9"/>
        <v>20 THN 4 BLN</v>
      </c>
      <c r="J113" s="59" t="s">
        <v>317</v>
      </c>
      <c r="K113" s="40" t="s">
        <v>317</v>
      </c>
      <c r="L113" s="23" t="s">
        <v>313</v>
      </c>
      <c r="M113" s="36"/>
    </row>
    <row r="114" spans="1:13" x14ac:dyDescent="0.35">
      <c r="A114" s="2">
        <v>621</v>
      </c>
      <c r="B114" s="3" t="s">
        <v>269</v>
      </c>
      <c r="C114" s="24" t="s">
        <v>34</v>
      </c>
      <c r="D114" s="24" t="s">
        <v>208</v>
      </c>
      <c r="E114" s="24" t="s">
        <v>316</v>
      </c>
      <c r="F114" s="39" t="s">
        <v>348</v>
      </c>
      <c r="G114" s="36" t="str">
        <f t="shared" ca="1" si="8"/>
        <v>1 THN 7 BLN</v>
      </c>
      <c r="H114" s="35">
        <v>38671</v>
      </c>
      <c r="I114" s="36" t="str">
        <f t="shared" ca="1" si="9"/>
        <v>20 THN 9 BLN</v>
      </c>
      <c r="J114" s="59" t="s">
        <v>317</v>
      </c>
      <c r="K114" s="40" t="s">
        <v>317</v>
      </c>
      <c r="L114" s="23" t="s">
        <v>313</v>
      </c>
      <c r="M114" s="36"/>
    </row>
    <row r="115" spans="1:13" x14ac:dyDescent="0.35">
      <c r="A115" s="2">
        <v>622</v>
      </c>
      <c r="B115" s="3" t="s">
        <v>270</v>
      </c>
      <c r="C115" s="24" t="s">
        <v>34</v>
      </c>
      <c r="D115" s="24"/>
      <c r="E115" s="24" t="s">
        <v>316</v>
      </c>
      <c r="F115" s="35">
        <v>45924</v>
      </c>
      <c r="G115" s="36" t="str">
        <f t="shared" ca="1" si="8"/>
        <v>0 THN 11 BLN</v>
      </c>
      <c r="H115" s="47"/>
      <c r="I115" s="56" t="str">
        <f t="shared" ca="1" si="9"/>
        <v>126 THN 7 BLN</v>
      </c>
      <c r="J115" s="61" t="s">
        <v>362</v>
      </c>
      <c r="K115" s="40" t="s">
        <v>313</v>
      </c>
      <c r="L115" s="23" t="s">
        <v>313</v>
      </c>
      <c r="M115" s="36"/>
    </row>
    <row r="116" spans="1:13" x14ac:dyDescent="0.35">
      <c r="A116" s="2">
        <v>633</v>
      </c>
      <c r="B116" s="3" t="s">
        <v>271</v>
      </c>
      <c r="C116" s="23" t="s">
        <v>34</v>
      </c>
      <c r="D116" s="24"/>
      <c r="E116" s="24" t="s">
        <v>316</v>
      </c>
      <c r="F116" s="35">
        <v>45698</v>
      </c>
      <c r="G116" s="36" t="str">
        <f t="shared" ca="1" si="8"/>
        <v>1 THN 6 BLN</v>
      </c>
      <c r="H116" s="35">
        <v>36791</v>
      </c>
      <c r="I116" s="36" t="str">
        <f t="shared" ca="1" si="9"/>
        <v>25 THN 11 BLN</v>
      </c>
      <c r="J116" s="59" t="s">
        <v>317</v>
      </c>
      <c r="K116" s="40" t="s">
        <v>317</v>
      </c>
      <c r="L116" s="23" t="s">
        <v>313</v>
      </c>
      <c r="M116" s="36"/>
    </row>
    <row r="117" spans="1:13" x14ac:dyDescent="0.35">
      <c r="A117" s="2">
        <v>638</v>
      </c>
      <c r="B117" s="3" t="s">
        <v>340</v>
      </c>
      <c r="C117" s="23" t="s">
        <v>6</v>
      </c>
      <c r="D117" s="24" t="s">
        <v>192</v>
      </c>
      <c r="E117" s="24" t="s">
        <v>316</v>
      </c>
      <c r="F117" s="35">
        <v>45700</v>
      </c>
      <c r="G117" s="36" t="str">
        <f t="shared" ca="1" si="8"/>
        <v>1 THN 6 BLN</v>
      </c>
      <c r="H117" s="35">
        <v>37395</v>
      </c>
      <c r="I117" s="36" t="str">
        <f t="shared" ca="1" si="9"/>
        <v>24 THN 3 BLN</v>
      </c>
      <c r="J117" s="59" t="s">
        <v>317</v>
      </c>
      <c r="K117" s="40" t="s">
        <v>317</v>
      </c>
      <c r="L117" s="23" t="s">
        <v>313</v>
      </c>
      <c r="M117" s="36"/>
    </row>
    <row r="118" spans="1:13" x14ac:dyDescent="0.35">
      <c r="A118" s="2">
        <v>644</v>
      </c>
      <c r="B118" s="3" t="s">
        <v>272</v>
      </c>
      <c r="C118" s="23" t="s">
        <v>6</v>
      </c>
      <c r="D118" s="24" t="s">
        <v>192</v>
      </c>
      <c r="E118" s="24" t="s">
        <v>316</v>
      </c>
      <c r="F118" s="35">
        <v>45712</v>
      </c>
      <c r="G118" s="36" t="str">
        <f t="shared" ca="1" si="8"/>
        <v>1 THN 6 BLN</v>
      </c>
      <c r="H118" s="35">
        <v>33979</v>
      </c>
      <c r="I118" s="36" t="str">
        <f t="shared" ca="1" si="9"/>
        <v>33 THN 7 BLN</v>
      </c>
      <c r="J118" s="59" t="s">
        <v>317</v>
      </c>
      <c r="K118" s="40" t="s">
        <v>317</v>
      </c>
      <c r="L118" s="23" t="s">
        <v>313</v>
      </c>
      <c r="M118" s="36"/>
    </row>
    <row r="119" spans="1:13" x14ac:dyDescent="0.35">
      <c r="A119" s="2">
        <v>650</v>
      </c>
      <c r="B119" s="3" t="s">
        <v>273</v>
      </c>
      <c r="C119" s="23" t="s">
        <v>34</v>
      </c>
      <c r="D119" s="24" t="s">
        <v>223</v>
      </c>
      <c r="E119" s="24" t="s">
        <v>316</v>
      </c>
      <c r="F119" s="39" t="s">
        <v>349</v>
      </c>
      <c r="G119" s="36" t="str">
        <f t="shared" ca="1" si="8"/>
        <v>1 THN 5 BLN</v>
      </c>
      <c r="H119" s="35">
        <v>37084</v>
      </c>
      <c r="I119" s="36" t="str">
        <f t="shared" ca="1" si="9"/>
        <v>25 THN 1 BLN</v>
      </c>
      <c r="J119" s="59" t="s">
        <v>317</v>
      </c>
      <c r="K119" s="40" t="s">
        <v>317</v>
      </c>
      <c r="L119" s="23" t="s">
        <v>313</v>
      </c>
      <c r="M119" s="36"/>
    </row>
    <row r="120" spans="1:13" x14ac:dyDescent="0.35">
      <c r="A120" s="2">
        <v>655</v>
      </c>
      <c r="B120" s="3" t="s">
        <v>274</v>
      </c>
      <c r="C120" s="23" t="s">
        <v>69</v>
      </c>
      <c r="D120" s="24"/>
      <c r="E120" s="24" t="s">
        <v>316</v>
      </c>
      <c r="F120" s="39" t="s">
        <v>350</v>
      </c>
      <c r="G120" s="36" t="str">
        <f t="shared" ca="1" si="8"/>
        <v>1 THN 5 BLN</v>
      </c>
      <c r="H120" s="35">
        <v>35293</v>
      </c>
      <c r="I120" s="36" t="str">
        <f t="shared" ca="1" si="9"/>
        <v>30 THN 0 BLN</v>
      </c>
      <c r="J120" s="59" t="s">
        <v>317</v>
      </c>
      <c r="K120" s="40" t="s">
        <v>313</v>
      </c>
      <c r="L120" s="23" t="s">
        <v>309</v>
      </c>
      <c r="M120" s="36" t="s">
        <v>311</v>
      </c>
    </row>
    <row r="121" spans="1:13" x14ac:dyDescent="0.35">
      <c r="A121" s="2">
        <v>661</v>
      </c>
      <c r="B121" s="3" t="s">
        <v>275</v>
      </c>
      <c r="C121" s="23" t="s">
        <v>192</v>
      </c>
      <c r="D121" s="24"/>
      <c r="E121" s="24" t="s">
        <v>316</v>
      </c>
      <c r="F121" s="39" t="s">
        <v>351</v>
      </c>
      <c r="G121" s="36" t="str">
        <f t="shared" ca="1" si="8"/>
        <v>1 THN 3 BLN</v>
      </c>
      <c r="H121" s="35">
        <v>39028</v>
      </c>
      <c r="I121" s="36" t="str">
        <f t="shared" ca="1" si="9"/>
        <v>19 THN 9 BLN</v>
      </c>
      <c r="J121" s="59" t="s">
        <v>317</v>
      </c>
      <c r="K121" s="40" t="s">
        <v>313</v>
      </c>
      <c r="L121" s="23" t="s">
        <v>313</v>
      </c>
      <c r="M121" s="36"/>
    </row>
    <row r="122" spans="1:13" x14ac:dyDescent="0.35">
      <c r="A122" s="2">
        <v>662</v>
      </c>
      <c r="B122" s="3" t="s">
        <v>276</v>
      </c>
      <c r="C122" s="23" t="s">
        <v>192</v>
      </c>
      <c r="D122" s="24"/>
      <c r="E122" s="24" t="s">
        <v>316</v>
      </c>
      <c r="F122" s="39" t="s">
        <v>352</v>
      </c>
      <c r="G122" s="36" t="str">
        <f t="shared" ca="1" si="8"/>
        <v>1 THN 3 BLN</v>
      </c>
      <c r="H122" s="35">
        <v>36803</v>
      </c>
      <c r="I122" s="36" t="str">
        <f t="shared" ca="1" si="9"/>
        <v>25 THN 10 BLN</v>
      </c>
      <c r="J122" s="59" t="s">
        <v>317</v>
      </c>
      <c r="K122" s="40" t="s">
        <v>313</v>
      </c>
      <c r="L122" s="23" t="s">
        <v>313</v>
      </c>
      <c r="M122" s="36"/>
    </row>
    <row r="123" spans="1:13" x14ac:dyDescent="0.35">
      <c r="A123" s="12">
        <v>669</v>
      </c>
      <c r="B123" s="13" t="s">
        <v>277</v>
      </c>
      <c r="C123" s="25" t="s">
        <v>6</v>
      </c>
      <c r="D123" s="25" t="s">
        <v>36</v>
      </c>
      <c r="E123" s="24" t="s">
        <v>316</v>
      </c>
      <c r="F123" s="35">
        <v>45812</v>
      </c>
      <c r="G123" s="36" t="str">
        <f t="shared" ca="1" si="8"/>
        <v>1 THN 2 BLN</v>
      </c>
      <c r="H123" s="35">
        <v>35341</v>
      </c>
      <c r="I123" s="36" t="str">
        <f t="shared" ca="1" si="9"/>
        <v>29 THN 10 BLN</v>
      </c>
      <c r="J123" s="59" t="s">
        <v>317</v>
      </c>
      <c r="K123" s="40" t="s">
        <v>317</v>
      </c>
      <c r="L123" s="23" t="s">
        <v>313</v>
      </c>
      <c r="M123" s="36"/>
    </row>
    <row r="124" spans="1:13" x14ac:dyDescent="0.35">
      <c r="A124" s="2">
        <v>673</v>
      </c>
      <c r="B124" s="3" t="s">
        <v>278</v>
      </c>
      <c r="C124" s="23" t="s">
        <v>6</v>
      </c>
      <c r="D124" s="24"/>
      <c r="E124" s="24" t="s">
        <v>316</v>
      </c>
      <c r="F124" s="35">
        <v>45847</v>
      </c>
      <c r="G124" s="36" t="str">
        <f t="shared" ca="1" si="8"/>
        <v>1 THN 1 BLN</v>
      </c>
      <c r="H124" s="35">
        <v>33401</v>
      </c>
      <c r="I124" s="36" t="str">
        <f t="shared" ca="1" si="9"/>
        <v>35 THN 2 BLN</v>
      </c>
      <c r="J124" s="59" t="s">
        <v>317</v>
      </c>
      <c r="K124" s="40" t="s">
        <v>313</v>
      </c>
      <c r="L124" s="23" t="s">
        <v>313</v>
      </c>
      <c r="M124" s="36"/>
    </row>
    <row r="125" spans="1:13" x14ac:dyDescent="0.35">
      <c r="A125" s="2">
        <v>675</v>
      </c>
      <c r="B125" s="3" t="s">
        <v>279</v>
      </c>
      <c r="C125" s="26" t="s">
        <v>6</v>
      </c>
      <c r="D125" s="27" t="s">
        <v>206</v>
      </c>
      <c r="E125" s="24" t="s">
        <v>316</v>
      </c>
      <c r="F125" s="35">
        <v>34539</v>
      </c>
      <c r="G125" s="36" t="str">
        <f t="shared" ca="1" si="8"/>
        <v>32 THN 1 BLN</v>
      </c>
      <c r="H125" s="35">
        <v>34539</v>
      </c>
      <c r="I125" s="36" t="str">
        <f t="shared" ca="1" si="9"/>
        <v>32 THN 1 BLN</v>
      </c>
      <c r="J125" s="59" t="s">
        <v>317</v>
      </c>
      <c r="K125" s="40" t="s">
        <v>317</v>
      </c>
      <c r="L125" s="23" t="s">
        <v>313</v>
      </c>
      <c r="M125" s="36"/>
    </row>
    <row r="126" spans="1:13" x14ac:dyDescent="0.35">
      <c r="A126" s="2">
        <v>676</v>
      </c>
      <c r="B126" s="3" t="s">
        <v>280</v>
      </c>
      <c r="C126" s="26" t="s">
        <v>6</v>
      </c>
      <c r="D126" s="27"/>
      <c r="E126" s="24" t="s">
        <v>316</v>
      </c>
      <c r="F126" s="35">
        <v>45895</v>
      </c>
      <c r="G126" s="36" t="str">
        <f t="shared" ca="1" si="8"/>
        <v>1 THN 0 BLN</v>
      </c>
      <c r="H126" s="35">
        <v>34149</v>
      </c>
      <c r="I126" s="36" t="str">
        <f t="shared" ca="1" si="9"/>
        <v>33 THN 2 BLN</v>
      </c>
      <c r="J126" s="59" t="s">
        <v>317</v>
      </c>
      <c r="K126" s="40" t="s">
        <v>317</v>
      </c>
      <c r="L126" s="23" t="s">
        <v>313</v>
      </c>
      <c r="M126" s="36"/>
    </row>
    <row r="127" spans="1:13" x14ac:dyDescent="0.35">
      <c r="A127" s="2">
        <v>677</v>
      </c>
      <c r="B127" s="58" t="s">
        <v>281</v>
      </c>
      <c r="C127" s="26" t="s">
        <v>207</v>
      </c>
      <c r="D127" s="27"/>
      <c r="E127" s="24" t="s">
        <v>316</v>
      </c>
      <c r="F127" s="39" t="s">
        <v>353</v>
      </c>
      <c r="G127" s="36" t="str">
        <f t="shared" ca="1" si="8"/>
        <v>1 THN 0 BLN</v>
      </c>
      <c r="H127" s="35">
        <v>29756</v>
      </c>
      <c r="I127" s="36" t="str">
        <f t="shared" ca="1" si="9"/>
        <v>45 THN 2 BLN</v>
      </c>
      <c r="J127" s="59" t="s">
        <v>317</v>
      </c>
      <c r="K127" s="40" t="s">
        <v>313</v>
      </c>
      <c r="L127" s="23" t="s">
        <v>319</v>
      </c>
      <c r="M127" s="57" t="s">
        <v>361</v>
      </c>
    </row>
    <row r="128" spans="1:13" x14ac:dyDescent="0.35">
      <c r="A128" s="2">
        <v>678</v>
      </c>
      <c r="B128" s="3" t="s">
        <v>282</v>
      </c>
      <c r="C128" s="26" t="s">
        <v>283</v>
      </c>
      <c r="D128" s="27"/>
      <c r="E128" s="24" t="s">
        <v>316</v>
      </c>
      <c r="F128" s="35">
        <v>45901</v>
      </c>
      <c r="G128" s="36" t="str">
        <f t="shared" ca="1" si="8"/>
        <v>0 THN 11 BLN</v>
      </c>
      <c r="H128" s="40"/>
      <c r="I128" s="36" t="str">
        <f t="shared" ca="1" si="9"/>
        <v>126 THN 7 BLN</v>
      </c>
      <c r="J128" s="59" t="s">
        <v>317</v>
      </c>
      <c r="K128" s="40" t="s">
        <v>1</v>
      </c>
      <c r="L128" s="23" t="s">
        <v>1</v>
      </c>
      <c r="M128" s="36"/>
    </row>
    <row r="129" spans="1:13" x14ac:dyDescent="0.35">
      <c r="A129" s="2">
        <v>679</v>
      </c>
      <c r="B129" s="3" t="s">
        <v>284</v>
      </c>
      <c r="C129" s="26" t="s">
        <v>283</v>
      </c>
      <c r="D129" s="27"/>
      <c r="E129" s="24" t="s">
        <v>316</v>
      </c>
      <c r="F129" s="35">
        <v>45901</v>
      </c>
      <c r="G129" s="36" t="str">
        <f t="shared" ca="1" si="8"/>
        <v>0 THN 11 BLN</v>
      </c>
      <c r="H129" s="40"/>
      <c r="I129" s="36" t="str">
        <f t="shared" ca="1" si="9"/>
        <v>126 THN 7 BLN</v>
      </c>
      <c r="J129" s="59" t="s">
        <v>317</v>
      </c>
      <c r="K129" s="40" t="s">
        <v>1</v>
      </c>
      <c r="L129" s="23" t="s">
        <v>1</v>
      </c>
      <c r="M129" s="36"/>
    </row>
    <row r="130" spans="1:13" x14ac:dyDescent="0.35">
      <c r="A130" s="2">
        <v>690</v>
      </c>
      <c r="B130" s="3" t="s">
        <v>285</v>
      </c>
      <c r="C130" s="26" t="s">
        <v>283</v>
      </c>
      <c r="D130" s="27"/>
      <c r="E130" s="24" t="s">
        <v>316</v>
      </c>
      <c r="F130" s="35">
        <v>45901</v>
      </c>
      <c r="G130" s="36" t="str">
        <f t="shared" ca="1" si="8"/>
        <v>0 THN 11 BLN</v>
      </c>
      <c r="H130" s="40"/>
      <c r="I130" s="36" t="str">
        <f t="shared" ca="1" si="9"/>
        <v>126 THN 7 BLN</v>
      </c>
      <c r="J130" s="59" t="s">
        <v>317</v>
      </c>
      <c r="K130" s="40" t="s">
        <v>1</v>
      </c>
      <c r="L130" s="23" t="s">
        <v>1</v>
      </c>
      <c r="M130" s="36"/>
    </row>
    <row r="131" spans="1:13" x14ac:dyDescent="0.35">
      <c r="A131" s="2">
        <v>691</v>
      </c>
      <c r="B131" s="3" t="s">
        <v>286</v>
      </c>
      <c r="C131" s="26" t="s">
        <v>283</v>
      </c>
      <c r="D131" s="27"/>
      <c r="E131" s="24" t="s">
        <v>316</v>
      </c>
      <c r="F131" s="35">
        <v>45901</v>
      </c>
      <c r="G131" s="36" t="str">
        <f t="shared" ca="1" si="8"/>
        <v>0 THN 11 BLN</v>
      </c>
      <c r="H131" s="40"/>
      <c r="I131" s="36" t="str">
        <f t="shared" ca="1" si="9"/>
        <v>126 THN 7 BLN</v>
      </c>
      <c r="J131" s="59" t="s">
        <v>317</v>
      </c>
      <c r="K131" s="40" t="s">
        <v>1</v>
      </c>
      <c r="L131" s="23" t="s">
        <v>1</v>
      </c>
      <c r="M131" s="51"/>
    </row>
    <row r="132" spans="1:13" x14ac:dyDescent="0.35">
      <c r="A132" s="2">
        <v>692</v>
      </c>
      <c r="B132" s="3" t="s">
        <v>287</v>
      </c>
      <c r="C132" s="26" t="s">
        <v>283</v>
      </c>
      <c r="D132" s="27"/>
      <c r="E132" s="24" t="s">
        <v>316</v>
      </c>
      <c r="F132" s="35">
        <v>45901</v>
      </c>
      <c r="G132" s="36" t="str">
        <f t="shared" ca="1" si="8"/>
        <v>0 THN 11 BLN</v>
      </c>
      <c r="H132" s="40"/>
      <c r="I132" s="36" t="str">
        <f t="shared" ca="1" si="9"/>
        <v>126 THN 7 BLN</v>
      </c>
      <c r="J132" s="59" t="s">
        <v>317</v>
      </c>
      <c r="K132" s="40" t="s">
        <v>1</v>
      </c>
      <c r="L132" s="23" t="s">
        <v>1</v>
      </c>
      <c r="M132" s="51"/>
    </row>
    <row r="133" spans="1:13" x14ac:dyDescent="0.35">
      <c r="A133" s="2">
        <v>693</v>
      </c>
      <c r="B133" s="3" t="s">
        <v>288</v>
      </c>
      <c r="C133" s="26" t="s">
        <v>6</v>
      </c>
      <c r="D133" s="27"/>
      <c r="E133" s="24" t="s">
        <v>316</v>
      </c>
      <c r="F133" s="35">
        <v>45909</v>
      </c>
      <c r="G133" s="36" t="str">
        <f t="shared" ca="1" si="8"/>
        <v>0 THN 11 BLN</v>
      </c>
      <c r="H133" s="35">
        <v>34013</v>
      </c>
      <c r="I133" s="36" t="str">
        <f t="shared" ca="1" si="9"/>
        <v>33 THN 6 BLN</v>
      </c>
      <c r="J133" s="59" t="s">
        <v>317</v>
      </c>
      <c r="K133" s="40" t="s">
        <v>317</v>
      </c>
      <c r="L133" s="23" t="s">
        <v>313</v>
      </c>
      <c r="M133" s="51"/>
    </row>
    <row r="134" spans="1:13" x14ac:dyDescent="0.35">
      <c r="A134" s="2">
        <v>694</v>
      </c>
      <c r="B134" s="3" t="s">
        <v>289</v>
      </c>
      <c r="C134" s="26" t="s">
        <v>6</v>
      </c>
      <c r="D134" s="27"/>
      <c r="E134" s="24" t="s">
        <v>316</v>
      </c>
      <c r="F134" s="35">
        <v>45910</v>
      </c>
      <c r="G134" s="36" t="str">
        <f t="shared" ca="1" si="8"/>
        <v>0 THN 11 BLN</v>
      </c>
      <c r="H134" s="35">
        <v>34224</v>
      </c>
      <c r="I134" s="36" t="str">
        <f t="shared" ca="1" si="9"/>
        <v>32 THN 11 BLN</v>
      </c>
      <c r="J134" s="59" t="s">
        <v>317</v>
      </c>
      <c r="K134" s="40" t="s">
        <v>1</v>
      </c>
      <c r="L134" s="23" t="s">
        <v>313</v>
      </c>
      <c r="M134" s="51"/>
    </row>
    <row r="135" spans="1:13" x14ac:dyDescent="0.35">
      <c r="A135" s="2">
        <v>695</v>
      </c>
      <c r="B135" s="3" t="s">
        <v>290</v>
      </c>
      <c r="C135" s="26" t="s">
        <v>291</v>
      </c>
      <c r="D135" s="27"/>
      <c r="E135" s="24" t="s">
        <v>291</v>
      </c>
      <c r="F135" s="41"/>
      <c r="G135" s="42"/>
      <c r="H135" s="41"/>
      <c r="I135" s="42"/>
      <c r="J135" s="62"/>
      <c r="K135" s="41"/>
      <c r="L135" s="29"/>
      <c r="M135" s="52"/>
    </row>
    <row r="136" spans="1:13" x14ac:dyDescent="0.35">
      <c r="A136" s="2">
        <v>696</v>
      </c>
      <c r="B136" s="3" t="s">
        <v>292</v>
      </c>
      <c r="C136" s="26" t="s">
        <v>34</v>
      </c>
      <c r="D136" s="27" t="s">
        <v>293</v>
      </c>
      <c r="E136" s="24" t="s">
        <v>316</v>
      </c>
      <c r="F136" s="39" t="s">
        <v>354</v>
      </c>
      <c r="G136" s="36" t="str">
        <f t="shared" ca="1" si="8"/>
        <v>0 THN 11 BLN</v>
      </c>
      <c r="H136" s="35">
        <v>34179</v>
      </c>
      <c r="I136" s="36" t="str">
        <f t="shared" ca="1" si="9"/>
        <v>33 THN 1 BLN</v>
      </c>
      <c r="J136" s="59" t="s">
        <v>317</v>
      </c>
      <c r="K136" s="40" t="s">
        <v>313</v>
      </c>
      <c r="L136" s="23" t="s">
        <v>313</v>
      </c>
      <c r="M136" s="51"/>
    </row>
    <row r="137" spans="1:13" x14ac:dyDescent="0.35">
      <c r="A137" s="2">
        <v>697</v>
      </c>
      <c r="B137" s="3" t="s">
        <v>294</v>
      </c>
      <c r="C137" s="23" t="s">
        <v>6</v>
      </c>
      <c r="D137" s="24" t="s">
        <v>192</v>
      </c>
      <c r="E137" s="24" t="s">
        <v>316</v>
      </c>
      <c r="F137" s="35">
        <v>45915</v>
      </c>
      <c r="G137" s="36" t="str">
        <f t="shared" ca="1" si="8"/>
        <v>0 THN 11 BLN</v>
      </c>
      <c r="H137" s="35">
        <v>37271</v>
      </c>
      <c r="I137" s="36" t="str">
        <f t="shared" ca="1" si="9"/>
        <v>24 THN 7 BLN</v>
      </c>
      <c r="J137" s="59" t="s">
        <v>317</v>
      </c>
      <c r="K137" s="40" t="s">
        <v>317</v>
      </c>
      <c r="L137" s="23" t="s">
        <v>313</v>
      </c>
      <c r="M137" s="51"/>
    </row>
    <row r="138" spans="1:13" x14ac:dyDescent="0.35">
      <c r="A138" s="2">
        <v>698</v>
      </c>
      <c r="B138" s="3" t="s">
        <v>295</v>
      </c>
      <c r="C138" s="23" t="s">
        <v>88</v>
      </c>
      <c r="D138" s="24"/>
      <c r="E138" s="24" t="s">
        <v>316</v>
      </c>
      <c r="F138" s="39" t="s">
        <v>355</v>
      </c>
      <c r="G138" s="36" t="str">
        <f t="shared" ca="1" si="8"/>
        <v>0 THN 11 BLN</v>
      </c>
      <c r="H138" s="35">
        <v>35394</v>
      </c>
      <c r="I138" s="36" t="str">
        <f t="shared" ca="1" si="9"/>
        <v>29 THN 9 BLN</v>
      </c>
      <c r="J138" s="59" t="s">
        <v>317</v>
      </c>
      <c r="K138" s="40" t="s">
        <v>313</v>
      </c>
      <c r="L138" s="23" t="s">
        <v>313</v>
      </c>
      <c r="M138" s="51"/>
    </row>
    <row r="139" spans="1:13" x14ac:dyDescent="0.35">
      <c r="A139" s="2">
        <v>699</v>
      </c>
      <c r="B139" s="3" t="s">
        <v>296</v>
      </c>
      <c r="C139" s="23" t="s">
        <v>88</v>
      </c>
      <c r="D139" s="24"/>
      <c r="E139" s="24" t="s">
        <v>316</v>
      </c>
      <c r="F139" s="39" t="s">
        <v>355</v>
      </c>
      <c r="G139" s="36" t="str">
        <f t="shared" ca="1" si="8"/>
        <v>0 THN 11 BLN</v>
      </c>
      <c r="H139" s="35">
        <v>37277</v>
      </c>
      <c r="I139" s="36" t="str">
        <f t="shared" ca="1" si="9"/>
        <v>24 THN 7 BLN</v>
      </c>
      <c r="J139" s="59" t="s">
        <v>317</v>
      </c>
      <c r="K139" s="40" t="s">
        <v>313</v>
      </c>
      <c r="L139" s="23" t="s">
        <v>313</v>
      </c>
      <c r="M139" s="51"/>
    </row>
    <row r="140" spans="1:13" x14ac:dyDescent="0.35">
      <c r="A140" s="2">
        <v>700</v>
      </c>
      <c r="B140" s="3" t="s">
        <v>297</v>
      </c>
      <c r="C140" s="23" t="s">
        <v>291</v>
      </c>
      <c r="D140" s="24"/>
      <c r="E140" s="24" t="s">
        <v>291</v>
      </c>
      <c r="F140" s="41"/>
      <c r="G140" s="42"/>
      <c r="H140" s="41"/>
      <c r="I140" s="42"/>
      <c r="J140" s="62"/>
      <c r="K140" s="41"/>
      <c r="L140" s="29"/>
      <c r="M140" s="52"/>
    </row>
    <row r="141" spans="1:13" x14ac:dyDescent="0.35">
      <c r="A141" s="2">
        <v>701</v>
      </c>
      <c r="B141" s="3" t="s">
        <v>298</v>
      </c>
      <c r="C141" s="23" t="s">
        <v>34</v>
      </c>
      <c r="D141" s="24" t="s">
        <v>293</v>
      </c>
      <c r="E141" s="24" t="s">
        <v>316</v>
      </c>
      <c r="F141" s="39" t="s">
        <v>356</v>
      </c>
      <c r="G141" s="36" t="str">
        <f t="shared" ca="1" si="8"/>
        <v>0 THN 11 BLN</v>
      </c>
      <c r="H141" s="35">
        <v>37880</v>
      </c>
      <c r="I141" s="36" t="str">
        <f t="shared" ca="1" si="9"/>
        <v>22 THN 11 BLN</v>
      </c>
      <c r="J141" s="59" t="s">
        <v>317</v>
      </c>
      <c r="K141" s="40" t="s">
        <v>313</v>
      </c>
      <c r="L141" s="23" t="s">
        <v>313</v>
      </c>
      <c r="M141" s="51"/>
    </row>
    <row r="142" spans="1:13" x14ac:dyDescent="0.35">
      <c r="A142" s="2">
        <v>702</v>
      </c>
      <c r="B142" s="58" t="s">
        <v>299</v>
      </c>
      <c r="C142" s="23" t="s">
        <v>25</v>
      </c>
      <c r="D142" s="24"/>
      <c r="E142" s="24" t="s">
        <v>316</v>
      </c>
      <c r="F142" s="39" t="s">
        <v>357</v>
      </c>
      <c r="G142" s="36" t="str">
        <f t="shared" ca="1" si="8"/>
        <v>0 THN 11 BLN</v>
      </c>
      <c r="H142" s="35">
        <v>36864</v>
      </c>
      <c r="I142" s="36" t="str">
        <f t="shared" ca="1" si="9"/>
        <v>25 THN 8 BLN</v>
      </c>
      <c r="J142" s="59" t="s">
        <v>317</v>
      </c>
      <c r="K142" s="40" t="s">
        <v>313</v>
      </c>
      <c r="L142" s="23" t="s">
        <v>319</v>
      </c>
      <c r="M142" s="57" t="s">
        <v>360</v>
      </c>
    </row>
    <row r="143" spans="1:13" x14ac:dyDescent="0.35">
      <c r="A143" s="2">
        <v>703</v>
      </c>
      <c r="B143" s="3" t="s">
        <v>300</v>
      </c>
      <c r="C143" s="23" t="s">
        <v>291</v>
      </c>
      <c r="D143" s="24"/>
      <c r="E143" s="24" t="s">
        <v>291</v>
      </c>
      <c r="F143" s="41"/>
      <c r="G143" s="42"/>
      <c r="H143" s="41"/>
      <c r="I143" s="42"/>
      <c r="J143" s="62"/>
      <c r="K143" s="41"/>
      <c r="L143" s="29"/>
      <c r="M143" s="52"/>
    </row>
    <row r="144" spans="1:13" x14ac:dyDescent="0.35">
      <c r="A144" s="2">
        <v>704</v>
      </c>
      <c r="B144" s="3" t="s">
        <v>301</v>
      </c>
      <c r="C144" s="23" t="s">
        <v>291</v>
      </c>
      <c r="D144" s="24"/>
      <c r="E144" s="24" t="s">
        <v>291</v>
      </c>
      <c r="F144" s="41"/>
      <c r="G144" s="42"/>
      <c r="H144" s="41"/>
      <c r="I144" s="42"/>
      <c r="J144" s="62"/>
      <c r="K144" s="41"/>
      <c r="L144" s="29"/>
      <c r="M144" s="52"/>
    </row>
    <row r="145" spans="1:13" x14ac:dyDescent="0.35">
      <c r="A145" s="2">
        <v>705</v>
      </c>
      <c r="B145" s="3" t="s">
        <v>302</v>
      </c>
      <c r="C145" s="23" t="s">
        <v>34</v>
      </c>
      <c r="D145" s="24" t="s">
        <v>223</v>
      </c>
      <c r="E145" s="24" t="s">
        <v>316</v>
      </c>
      <c r="F145" s="39" t="s">
        <v>358</v>
      </c>
      <c r="G145" s="36" t="str">
        <f t="shared" ca="1" si="8"/>
        <v>0 THN 11 BLN</v>
      </c>
      <c r="H145" s="35">
        <v>36415</v>
      </c>
      <c r="I145" s="36" t="str">
        <f t="shared" ca="1" si="9"/>
        <v>26 THN 11 BLN</v>
      </c>
      <c r="J145" s="59" t="s">
        <v>317</v>
      </c>
      <c r="K145" s="40" t="s">
        <v>313</v>
      </c>
      <c r="L145" s="23" t="s">
        <v>313</v>
      </c>
      <c r="M145" s="51"/>
    </row>
    <row r="146" spans="1:13" ht="15" thickBot="1" x14ac:dyDescent="0.4">
      <c r="A146" s="2">
        <v>706</v>
      </c>
      <c r="B146" s="3" t="s">
        <v>303</v>
      </c>
      <c r="C146" s="23" t="s">
        <v>34</v>
      </c>
      <c r="D146" s="24" t="s">
        <v>293</v>
      </c>
      <c r="E146" s="24" t="s">
        <v>316</v>
      </c>
      <c r="F146" s="39" t="s">
        <v>359</v>
      </c>
      <c r="G146" s="36" t="str">
        <f t="shared" ca="1" si="8"/>
        <v>0 THN 11 BLN</v>
      </c>
      <c r="H146" s="35">
        <v>35478</v>
      </c>
      <c r="I146" s="36" t="str">
        <f t="shared" ca="1" si="9"/>
        <v>29 THN 6 BLN</v>
      </c>
      <c r="J146" s="59" t="s">
        <v>317</v>
      </c>
      <c r="K146" s="53" t="s">
        <v>317</v>
      </c>
      <c r="L146" s="23" t="s">
        <v>313</v>
      </c>
      <c r="M146" s="51"/>
    </row>
    <row r="147" spans="1:13" ht="15" thickBot="1" x14ac:dyDescent="0.4">
      <c r="A147" s="2">
        <v>707</v>
      </c>
      <c r="B147" s="3" t="s">
        <v>304</v>
      </c>
      <c r="C147" s="23" t="s">
        <v>34</v>
      </c>
      <c r="D147" s="24" t="s">
        <v>293</v>
      </c>
      <c r="E147" s="24" t="s">
        <v>316</v>
      </c>
      <c r="F147" s="39" t="s">
        <v>359</v>
      </c>
      <c r="G147" s="36" t="str">
        <f t="shared" ca="1" si="8"/>
        <v>0 THN 11 BLN</v>
      </c>
      <c r="H147" s="35">
        <v>36969</v>
      </c>
      <c r="I147" s="36" t="str">
        <f t="shared" ca="1" si="9"/>
        <v>25 THN 5 BLN</v>
      </c>
      <c r="J147" s="59" t="s">
        <v>317</v>
      </c>
      <c r="K147" s="53" t="s">
        <v>317</v>
      </c>
      <c r="L147" s="23" t="s">
        <v>313</v>
      </c>
      <c r="M147" s="51"/>
    </row>
    <row r="148" spans="1:13" ht="15" thickBot="1" x14ac:dyDescent="0.4">
      <c r="A148" s="2">
        <v>708</v>
      </c>
      <c r="B148" s="58" t="s">
        <v>305</v>
      </c>
      <c r="C148" s="23" t="s">
        <v>6</v>
      </c>
      <c r="D148" s="24"/>
      <c r="E148" s="24" t="s">
        <v>316</v>
      </c>
      <c r="F148" s="43">
        <v>45931</v>
      </c>
      <c r="G148" s="44" t="str">
        <f t="shared" ca="1" si="8"/>
        <v>0 THN 10 BLN</v>
      </c>
      <c r="H148" s="43">
        <v>36505</v>
      </c>
      <c r="I148" s="44" t="str">
        <f t="shared" ca="1" si="9"/>
        <v>26 THN 8 BLN</v>
      </c>
      <c r="J148" s="63" t="s">
        <v>317</v>
      </c>
      <c r="K148" s="53" t="s">
        <v>317</v>
      </c>
      <c r="L148" s="54" t="s">
        <v>319</v>
      </c>
      <c r="M148" s="55"/>
    </row>
    <row r="149" spans="1:13" x14ac:dyDescent="0.35">
      <c r="A149" s="2">
        <v>709</v>
      </c>
      <c r="B149" s="3" t="s">
        <v>364</v>
      </c>
      <c r="C149" s="23" t="s">
        <v>6</v>
      </c>
      <c r="D149" s="24" t="s">
        <v>150</v>
      </c>
      <c r="E149" s="24" t="s">
        <v>316</v>
      </c>
      <c r="F149" s="39">
        <v>46013</v>
      </c>
      <c r="G149" s="36" t="str">
        <f t="shared" ref="G149" ca="1" si="10">DATEDIF(F149,TODAY(),"Y")&amp; " THN "&amp;DATEDIF(F149,TODAY(),"YM")&amp;" BLN"</f>
        <v>0 THN 8 BLN</v>
      </c>
      <c r="H149" s="35">
        <v>36778</v>
      </c>
      <c r="I149" s="36" t="str">
        <f t="shared" ref="I149" ca="1" si="11">DATEDIF(H149,TODAY(),"Y")&amp; " THN "&amp;DATEDIF(H149,TODAY(),"YM")&amp;" BLN"</f>
        <v>25 THN 11 BLN</v>
      </c>
      <c r="J149" s="59" t="s">
        <v>317</v>
      </c>
      <c r="K149" s="40" t="s">
        <v>317</v>
      </c>
      <c r="L149" s="23" t="s">
        <v>313</v>
      </c>
      <c r="M149" s="51"/>
    </row>
    <row r="150" spans="1:13" x14ac:dyDescent="0.35">
      <c r="A150" s="2">
        <v>710</v>
      </c>
      <c r="B150" s="3" t="s">
        <v>365</v>
      </c>
      <c r="C150" s="23" t="s">
        <v>6</v>
      </c>
      <c r="D150" s="24" t="s">
        <v>366</v>
      </c>
      <c r="E150" s="24" t="s">
        <v>316</v>
      </c>
      <c r="F150" s="39">
        <v>46062</v>
      </c>
      <c r="G150" s="36" t="str">
        <f t="shared" ref="G150:G151" ca="1" si="12">DATEDIF(F150,TODAY(),"Y")&amp; " THN "&amp;DATEDIF(F150,TODAY(),"YM")&amp;" BLN"</f>
        <v>0 THN 6 BLN</v>
      </c>
      <c r="H150" s="35">
        <v>36778</v>
      </c>
      <c r="I150" s="36" t="str">
        <f t="shared" ref="I150:I151" ca="1" si="13">DATEDIF(H150,TODAY(),"Y")&amp; " THN "&amp;DATEDIF(H150,TODAY(),"YM")&amp;" BLN"</f>
        <v>25 THN 11 BLN</v>
      </c>
      <c r="J150" s="59" t="s">
        <v>317</v>
      </c>
      <c r="K150" s="23" t="s">
        <v>313</v>
      </c>
      <c r="L150" s="23" t="s">
        <v>313</v>
      </c>
      <c r="M150" s="51"/>
    </row>
    <row r="151" spans="1:13" x14ac:dyDescent="0.35">
      <c r="A151" s="2">
        <v>711</v>
      </c>
      <c r="B151" s="3" t="s">
        <v>369</v>
      </c>
      <c r="C151" s="23" t="s">
        <v>370</v>
      </c>
      <c r="D151" s="24" t="s">
        <v>229</v>
      </c>
      <c r="E151" s="24" t="s">
        <v>316</v>
      </c>
      <c r="F151" s="39">
        <v>46069</v>
      </c>
      <c r="G151" s="36" t="str">
        <f t="shared" ca="1" si="12"/>
        <v>0 THN 6 BLN</v>
      </c>
      <c r="H151" s="35">
        <v>33194</v>
      </c>
      <c r="I151" s="36" t="str">
        <f t="shared" ca="1" si="13"/>
        <v>35 THN 9 BLN</v>
      </c>
      <c r="J151" s="59" t="s">
        <v>317</v>
      </c>
      <c r="K151" s="23" t="s">
        <v>313</v>
      </c>
      <c r="L151" s="23" t="s">
        <v>313</v>
      </c>
      <c r="M151" s="51"/>
    </row>
    <row r="152" spans="1:13" x14ac:dyDescent="0.35">
      <c r="A152" s="2">
        <v>712</v>
      </c>
      <c r="B152" s="3" t="s">
        <v>367</v>
      </c>
      <c r="C152" s="23" t="s">
        <v>6</v>
      </c>
      <c r="D152" s="24" t="s">
        <v>366</v>
      </c>
      <c r="E152" s="24" t="s">
        <v>316</v>
      </c>
      <c r="F152" s="39">
        <v>46071</v>
      </c>
      <c r="G152" s="36" t="str">
        <f t="shared" ref="G152" ca="1" si="14">DATEDIF(F152,TODAY(),"Y")&amp; " THN "&amp;DATEDIF(F152,TODAY(),"YM")&amp;" BLN"</f>
        <v>0 THN 6 BLN</v>
      </c>
      <c r="H152" s="35">
        <v>36022</v>
      </c>
      <c r="I152" s="36" t="str">
        <f t="shared" ref="I152" ca="1" si="15">DATEDIF(H152,TODAY(),"Y")&amp; " THN "&amp;DATEDIF(H152,TODAY(),"YM")&amp;" BLN"</f>
        <v>28 THN 0 BLN</v>
      </c>
      <c r="J152" s="59" t="s">
        <v>317</v>
      </c>
      <c r="K152" s="23" t="s">
        <v>313</v>
      </c>
      <c r="L152" s="23" t="s">
        <v>313</v>
      </c>
      <c r="M152" s="51"/>
    </row>
    <row r="153" spans="1:13" x14ac:dyDescent="0.35">
      <c r="A153" s="2">
        <v>713</v>
      </c>
      <c r="B153" s="3" t="s">
        <v>368</v>
      </c>
      <c r="C153" s="23" t="s">
        <v>6</v>
      </c>
      <c r="D153" s="24" t="s">
        <v>13</v>
      </c>
      <c r="E153" s="24" t="s">
        <v>316</v>
      </c>
      <c r="F153" s="39">
        <v>46071</v>
      </c>
      <c r="G153" s="36" t="str">
        <f t="shared" ref="G153" ca="1" si="16">DATEDIF(F153,TODAY(),"Y")&amp; " THN "&amp;DATEDIF(F153,TODAY(),"YM")&amp;" BLN"</f>
        <v>0 THN 6 BLN</v>
      </c>
      <c r="H153" s="35"/>
      <c r="I153" s="36" t="str">
        <f t="shared" ref="I153" ca="1" si="17">DATEDIF(H153,TODAY(),"Y")&amp; " THN "&amp;DATEDIF(H153,TODAY(),"YM")&amp;" BLN"</f>
        <v>126 THN 7 BLN</v>
      </c>
      <c r="J153" s="59" t="s">
        <v>317</v>
      </c>
      <c r="K153" s="23" t="s">
        <v>313</v>
      </c>
      <c r="L153" s="23" t="s">
        <v>313</v>
      </c>
      <c r="M153" s="51"/>
    </row>
    <row r="154" spans="1:13" x14ac:dyDescent="0.35">
      <c r="F154" s="39"/>
    </row>
  </sheetData>
  <autoFilter ref="A2:M149" xr:uid="{2A6C5FF2-626E-4BF5-83CB-3F0D15C7A020}"/>
  <mergeCells count="7">
    <mergeCell ref="K1:M1"/>
    <mergeCell ref="A1:A2"/>
    <mergeCell ref="B1:B2"/>
    <mergeCell ref="C1:E1"/>
    <mergeCell ref="F1:G1"/>
    <mergeCell ref="H1:I1"/>
    <mergeCell ref="J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2930-3946-4A0E-8AF6-82FE50DA81A8}">
  <sheetPr filterMode="1"/>
  <dimension ref="A1:P144"/>
  <sheetViews>
    <sheetView zoomScale="90" zoomScaleNormal="86" workbookViewId="0">
      <pane xSplit="4" ySplit="2" topLeftCell="E131" activePane="bottomRight" state="frozen"/>
      <selection pane="topRight" activeCell="E1" sqref="E1"/>
      <selection pane="bottomLeft" activeCell="A2" sqref="A2"/>
      <selection pane="bottomRight" activeCell="B140" sqref="B140"/>
    </sheetView>
  </sheetViews>
  <sheetFormatPr defaultRowHeight="14.5" x14ac:dyDescent="0.35"/>
  <cols>
    <col min="1" max="1" width="5.6328125" style="1" customWidth="1"/>
    <col min="2" max="2" width="32.36328125" style="1" customWidth="1"/>
    <col min="3" max="3" width="11.08984375" style="1" bestFit="1" customWidth="1"/>
    <col min="4" max="4" width="15.08984375" style="1" bestFit="1" customWidth="1"/>
    <col min="5" max="5" width="12.453125" style="1" bestFit="1" customWidth="1"/>
    <col min="6" max="6" width="11.54296875" style="5" bestFit="1" customWidth="1"/>
    <col min="7" max="7" width="10.453125" style="5" bestFit="1" customWidth="1"/>
    <col min="8" max="8" width="9.54296875" style="5" bestFit="1" customWidth="1"/>
    <col min="9" max="9" width="11" style="5" bestFit="1" customWidth="1"/>
    <col min="10" max="11" width="11" style="5" customWidth="1"/>
    <col min="12" max="13" width="8.7265625" style="5"/>
    <col min="14" max="14" width="30" style="5" customWidth="1"/>
    <col min="15" max="15" width="10.6328125" style="1" bestFit="1" customWidth="1"/>
    <col min="16" max="16" width="20.81640625" style="1" bestFit="1" customWidth="1"/>
    <col min="17" max="16384" width="8.7265625" style="1"/>
  </cols>
  <sheetData>
    <row r="1" spans="1:14" x14ac:dyDescent="0.35">
      <c r="A1" s="75" t="s">
        <v>2</v>
      </c>
      <c r="B1" s="77" t="s">
        <v>3</v>
      </c>
      <c r="C1" s="79" t="s">
        <v>341</v>
      </c>
      <c r="D1" s="79"/>
      <c r="E1" s="79"/>
      <c r="F1" s="80" t="s">
        <v>81</v>
      </c>
      <c r="G1" s="81"/>
      <c r="H1" s="82" t="s">
        <v>343</v>
      </c>
      <c r="I1" s="83"/>
      <c r="J1" s="84"/>
      <c r="K1" s="85" t="s">
        <v>363</v>
      </c>
      <c r="L1" s="72" t="s">
        <v>344</v>
      </c>
      <c r="M1" s="73"/>
      <c r="N1" s="74"/>
    </row>
    <row r="2" spans="1:14" x14ac:dyDescent="0.35">
      <c r="A2" s="76"/>
      <c r="B2" s="78"/>
      <c r="C2" s="30" t="s">
        <v>0</v>
      </c>
      <c r="D2" s="31" t="s">
        <v>5</v>
      </c>
      <c r="E2" s="32" t="s">
        <v>315</v>
      </c>
      <c r="F2" s="33" t="s">
        <v>4</v>
      </c>
      <c r="G2" s="34" t="s">
        <v>342</v>
      </c>
      <c r="H2" s="45" t="s">
        <v>108</v>
      </c>
      <c r="I2" s="67" t="s">
        <v>109</v>
      </c>
      <c r="J2" s="68" t="s">
        <v>376</v>
      </c>
      <c r="K2" s="86"/>
      <c r="L2" s="49" t="s">
        <v>306</v>
      </c>
      <c r="M2" s="48" t="s">
        <v>307</v>
      </c>
      <c r="N2" s="50" t="s">
        <v>105</v>
      </c>
    </row>
    <row r="3" spans="1:14" x14ac:dyDescent="0.35">
      <c r="A3" s="2">
        <v>3</v>
      </c>
      <c r="B3" s="3" t="s">
        <v>61</v>
      </c>
      <c r="C3" s="23" t="s">
        <v>6</v>
      </c>
      <c r="D3" s="24" t="s">
        <v>189</v>
      </c>
      <c r="E3" s="24" t="s">
        <v>316</v>
      </c>
      <c r="F3" s="35">
        <v>35846</v>
      </c>
      <c r="G3" s="36" t="str">
        <f t="shared" ref="G3:G34" ca="1" si="0">DATEDIF(F3,TODAY(),"Y")&amp; " THN "&amp;DATEDIF(F3,TODAY(),"YM")&amp;" BLN"</f>
        <v>28 THN 6 BLN</v>
      </c>
      <c r="H3" s="35">
        <v>27161</v>
      </c>
      <c r="I3" s="36" t="str">
        <f t="shared" ref="I3:I34" ca="1" si="1">DATEDIF(H3,TODAY(),"Y")&amp; " THN "&amp;DATEDIF(H3,TODAY(),"YM")&amp;" BLN"</f>
        <v>52 THN 3 BLN</v>
      </c>
      <c r="J3" s="64" t="s">
        <v>377</v>
      </c>
      <c r="K3" s="59" t="s">
        <v>362</v>
      </c>
      <c r="L3" s="40" t="s">
        <v>1</v>
      </c>
      <c r="M3" s="23" t="s">
        <v>308</v>
      </c>
      <c r="N3" s="36" t="s">
        <v>6</v>
      </c>
    </row>
    <row r="4" spans="1:14" x14ac:dyDescent="0.35">
      <c r="A4" s="2">
        <v>4</v>
      </c>
      <c r="B4" s="3" t="s">
        <v>29</v>
      </c>
      <c r="C4" s="23" t="s">
        <v>25</v>
      </c>
      <c r="D4" s="24"/>
      <c r="E4" s="24" t="s">
        <v>316</v>
      </c>
      <c r="F4" s="35">
        <v>38458</v>
      </c>
      <c r="G4" s="36" t="str">
        <f t="shared" ca="1" si="0"/>
        <v>21 THN 4 BLN</v>
      </c>
      <c r="H4" s="35">
        <v>30050</v>
      </c>
      <c r="I4" s="36" t="str">
        <f t="shared" ca="1" si="1"/>
        <v>44 THN 4 BLN</v>
      </c>
      <c r="J4" s="64" t="s">
        <v>377</v>
      </c>
      <c r="K4" s="59" t="s">
        <v>362</v>
      </c>
      <c r="L4" s="40" t="s">
        <v>1</v>
      </c>
      <c r="M4" s="23" t="s">
        <v>309</v>
      </c>
      <c r="N4" s="36" t="s">
        <v>312</v>
      </c>
    </row>
    <row r="5" spans="1:14" x14ac:dyDescent="0.35">
      <c r="A5" s="2">
        <v>5</v>
      </c>
      <c r="B5" s="3" t="s">
        <v>22</v>
      </c>
      <c r="C5" s="23" t="s">
        <v>82</v>
      </c>
      <c r="D5" s="24"/>
      <c r="E5" s="24" t="s">
        <v>316</v>
      </c>
      <c r="F5" s="35">
        <v>38568</v>
      </c>
      <c r="G5" s="36" t="str">
        <f t="shared" ca="1" si="0"/>
        <v>21 THN 0 BLN</v>
      </c>
      <c r="H5" s="35">
        <v>26169</v>
      </c>
      <c r="I5" s="36" t="str">
        <f t="shared" ca="1" si="1"/>
        <v>55 THN 0 BLN</v>
      </c>
      <c r="J5" s="64" t="s">
        <v>377</v>
      </c>
      <c r="K5" s="59" t="s">
        <v>362</v>
      </c>
      <c r="L5" s="40" t="s">
        <v>1</v>
      </c>
      <c r="M5" s="23" t="s">
        <v>309</v>
      </c>
      <c r="N5" s="36" t="s">
        <v>109</v>
      </c>
    </row>
    <row r="6" spans="1:14" x14ac:dyDescent="0.35">
      <c r="A6" s="2">
        <v>7</v>
      </c>
      <c r="B6" s="3" t="s">
        <v>21</v>
      </c>
      <c r="C6" s="23" t="s">
        <v>6</v>
      </c>
      <c r="D6" s="24"/>
      <c r="E6" s="24" t="s">
        <v>316</v>
      </c>
      <c r="F6" s="35">
        <v>41276</v>
      </c>
      <c r="G6" s="36" t="str">
        <f t="shared" ca="1" si="0"/>
        <v>13 THN 7 BLN</v>
      </c>
      <c r="H6" s="35">
        <v>32084</v>
      </c>
      <c r="I6" s="36" t="str">
        <f t="shared" ca="1" si="1"/>
        <v>38 THN 9 BLN</v>
      </c>
      <c r="J6" s="64" t="s">
        <v>377</v>
      </c>
      <c r="K6" s="59" t="s">
        <v>362</v>
      </c>
      <c r="L6" s="40" t="s">
        <v>1</v>
      </c>
      <c r="M6" s="23" t="s">
        <v>1</v>
      </c>
      <c r="N6" s="36" t="s">
        <v>310</v>
      </c>
    </row>
    <row r="7" spans="1:14" x14ac:dyDescent="0.35">
      <c r="A7" s="2">
        <v>10</v>
      </c>
      <c r="B7" s="3" t="s">
        <v>190</v>
      </c>
      <c r="C7" s="23" t="s">
        <v>77</v>
      </c>
      <c r="D7" s="24" t="s">
        <v>191</v>
      </c>
      <c r="E7" s="24" t="s">
        <v>316</v>
      </c>
      <c r="F7" s="35">
        <v>40463</v>
      </c>
      <c r="G7" s="36" t="str">
        <f t="shared" ca="1" si="0"/>
        <v>15 THN 10 BLN</v>
      </c>
      <c r="H7" s="35">
        <v>28361</v>
      </c>
      <c r="I7" s="36" t="str">
        <f t="shared" ca="1" si="1"/>
        <v>49 THN 0 BLN</v>
      </c>
      <c r="J7" s="64" t="s">
        <v>377</v>
      </c>
      <c r="K7" s="59" t="s">
        <v>362</v>
      </c>
      <c r="L7" s="40" t="s">
        <v>1</v>
      </c>
      <c r="M7" s="23" t="s">
        <v>309</v>
      </c>
      <c r="N7" s="36" t="s">
        <v>311</v>
      </c>
    </row>
    <row r="8" spans="1:14" x14ac:dyDescent="0.35">
      <c r="A8" s="2">
        <v>11</v>
      </c>
      <c r="B8" s="3" t="s">
        <v>32</v>
      </c>
      <c r="C8" s="23" t="s">
        <v>25</v>
      </c>
      <c r="D8" s="24"/>
      <c r="E8" s="24" t="s">
        <v>316</v>
      </c>
      <c r="F8" s="35">
        <v>41918</v>
      </c>
      <c r="G8" s="36" t="str">
        <f t="shared" ca="1" si="0"/>
        <v>11 THN 10 BLN</v>
      </c>
      <c r="H8" s="35">
        <v>31373</v>
      </c>
      <c r="I8" s="36" t="str">
        <f t="shared" ca="1" si="1"/>
        <v>40 THN 9 BLN</v>
      </c>
      <c r="J8" s="64" t="s">
        <v>377</v>
      </c>
      <c r="K8" s="59" t="s">
        <v>362</v>
      </c>
      <c r="L8" s="40" t="s">
        <v>1</v>
      </c>
      <c r="M8" s="23" t="s">
        <v>309</v>
      </c>
      <c r="N8" s="36" t="s">
        <v>312</v>
      </c>
    </row>
    <row r="9" spans="1:14" x14ac:dyDescent="0.35">
      <c r="A9" s="2">
        <v>12</v>
      </c>
      <c r="B9" s="3" t="s">
        <v>19</v>
      </c>
      <c r="C9" s="23" t="s">
        <v>192</v>
      </c>
      <c r="D9" s="24" t="s">
        <v>77</v>
      </c>
      <c r="E9" s="24" t="s">
        <v>316</v>
      </c>
      <c r="F9" s="35">
        <v>41288</v>
      </c>
      <c r="G9" s="36" t="str">
        <f t="shared" ca="1" si="0"/>
        <v>13 THN 7 BLN</v>
      </c>
      <c r="H9" s="35">
        <v>30153</v>
      </c>
      <c r="I9" s="36" t="str">
        <f t="shared" ca="1" si="1"/>
        <v>44 THN 1 BLN</v>
      </c>
      <c r="J9" s="64" t="s">
        <v>377</v>
      </c>
      <c r="K9" s="59" t="s">
        <v>362</v>
      </c>
      <c r="L9" s="40" t="s">
        <v>1</v>
      </c>
      <c r="M9" s="23" t="s">
        <v>309</v>
      </c>
      <c r="N9" s="36" t="s">
        <v>311</v>
      </c>
    </row>
    <row r="10" spans="1:14" x14ac:dyDescent="0.35">
      <c r="A10" s="2">
        <v>17</v>
      </c>
      <c r="B10" s="3" t="s">
        <v>47</v>
      </c>
      <c r="C10" s="23" t="s">
        <v>34</v>
      </c>
      <c r="D10" s="24" t="s">
        <v>193</v>
      </c>
      <c r="E10" s="24" t="s">
        <v>316</v>
      </c>
      <c r="F10" s="35">
        <v>41539</v>
      </c>
      <c r="G10" s="36" t="str">
        <f t="shared" ca="1" si="0"/>
        <v>12 THN 11 BLN</v>
      </c>
      <c r="H10" s="35">
        <v>33806</v>
      </c>
      <c r="I10" s="36" t="str">
        <f t="shared" ca="1" si="1"/>
        <v>34 THN 1 BLN</v>
      </c>
      <c r="J10" s="64" t="s">
        <v>377</v>
      </c>
      <c r="K10" s="59" t="s">
        <v>362</v>
      </c>
      <c r="L10" s="40" t="s">
        <v>1</v>
      </c>
      <c r="M10" s="23" t="s">
        <v>309</v>
      </c>
      <c r="N10" s="36" t="s">
        <v>312</v>
      </c>
    </row>
    <row r="11" spans="1:14" x14ac:dyDescent="0.35">
      <c r="A11" s="2">
        <v>18</v>
      </c>
      <c r="B11" s="3" t="s">
        <v>31</v>
      </c>
      <c r="C11" s="23" t="s">
        <v>25</v>
      </c>
      <c r="D11" s="24"/>
      <c r="E11" s="24" t="s">
        <v>316</v>
      </c>
      <c r="F11" s="35">
        <v>38605</v>
      </c>
      <c r="G11" s="36" t="str">
        <f t="shared" ca="1" si="0"/>
        <v>20 THN 11 BLN</v>
      </c>
      <c r="H11" s="35">
        <v>30630</v>
      </c>
      <c r="I11" s="36" t="str">
        <f t="shared" ca="1" si="1"/>
        <v>42 THN 9 BLN</v>
      </c>
      <c r="J11" s="64" t="s">
        <v>377</v>
      </c>
      <c r="K11" s="59" t="s">
        <v>362</v>
      </c>
      <c r="L11" s="40" t="s">
        <v>1</v>
      </c>
      <c r="M11" s="23" t="s">
        <v>309</v>
      </c>
      <c r="N11" s="36" t="s">
        <v>312</v>
      </c>
    </row>
    <row r="12" spans="1:14" x14ac:dyDescent="0.35">
      <c r="A12" s="2">
        <v>23</v>
      </c>
      <c r="B12" s="3" t="s">
        <v>40</v>
      </c>
      <c r="C12" s="23" t="s">
        <v>77</v>
      </c>
      <c r="D12" s="24" t="s">
        <v>191</v>
      </c>
      <c r="E12" s="24" t="s">
        <v>316</v>
      </c>
      <c r="F12" s="35">
        <v>36661</v>
      </c>
      <c r="G12" s="36" t="str">
        <f t="shared" ca="1" si="0"/>
        <v>26 THN 3 BLN</v>
      </c>
      <c r="H12" s="35">
        <v>27121</v>
      </c>
      <c r="I12" s="36" t="str">
        <f t="shared" ca="1" si="1"/>
        <v>52 THN 4 BLN</v>
      </c>
      <c r="J12" s="64" t="s">
        <v>378</v>
      </c>
      <c r="K12" s="59" t="s">
        <v>362</v>
      </c>
      <c r="L12" s="40" t="s">
        <v>1</v>
      </c>
      <c r="M12" s="23" t="s">
        <v>309</v>
      </c>
      <c r="N12" s="36" t="s">
        <v>109</v>
      </c>
    </row>
    <row r="13" spans="1:14" x14ac:dyDescent="0.35">
      <c r="A13" s="2">
        <v>25</v>
      </c>
      <c r="B13" s="3" t="s">
        <v>35</v>
      </c>
      <c r="C13" s="23" t="s">
        <v>6</v>
      </c>
      <c r="D13" s="24"/>
      <c r="E13" s="24" t="s">
        <v>316</v>
      </c>
      <c r="F13" s="35">
        <v>38544</v>
      </c>
      <c r="G13" s="36" t="str">
        <f t="shared" ca="1" si="0"/>
        <v>21 THN 1 BLN</v>
      </c>
      <c r="H13" s="35">
        <v>32686</v>
      </c>
      <c r="I13" s="36" t="str">
        <f t="shared" ca="1" si="1"/>
        <v>37 THN 2 BLN</v>
      </c>
      <c r="J13" s="64" t="s">
        <v>378</v>
      </c>
      <c r="K13" s="59" t="s">
        <v>362</v>
      </c>
      <c r="L13" s="40" t="s">
        <v>1</v>
      </c>
      <c r="M13" s="23" t="s">
        <v>308</v>
      </c>
      <c r="N13" s="36" t="s">
        <v>6</v>
      </c>
    </row>
    <row r="14" spans="1:14" x14ac:dyDescent="0.35">
      <c r="A14" s="2">
        <v>27</v>
      </c>
      <c r="B14" s="3" t="s">
        <v>41</v>
      </c>
      <c r="C14" s="23" t="s">
        <v>34</v>
      </c>
      <c r="D14" s="24" t="s">
        <v>194</v>
      </c>
      <c r="E14" s="24" t="s">
        <v>316</v>
      </c>
      <c r="F14" s="35">
        <v>39756</v>
      </c>
      <c r="G14" s="36" t="str">
        <f t="shared" ca="1" si="0"/>
        <v>17 THN 9 BLN</v>
      </c>
      <c r="H14" s="35">
        <v>27968</v>
      </c>
      <c r="I14" s="36" t="str">
        <f t="shared" ca="1" si="1"/>
        <v>50 THN 1 BLN</v>
      </c>
      <c r="J14" s="64" t="s">
        <v>378</v>
      </c>
      <c r="K14" s="59" t="s">
        <v>362</v>
      </c>
      <c r="L14" s="40" t="s">
        <v>1</v>
      </c>
      <c r="M14" s="23" t="s">
        <v>313</v>
      </c>
      <c r="N14" s="36" t="s">
        <v>314</v>
      </c>
    </row>
    <row r="15" spans="1:14" x14ac:dyDescent="0.35">
      <c r="A15" s="2">
        <v>28</v>
      </c>
      <c r="B15" s="3" t="s">
        <v>86</v>
      </c>
      <c r="C15" s="23" t="s">
        <v>34</v>
      </c>
      <c r="D15" s="24" t="s">
        <v>194</v>
      </c>
      <c r="E15" s="24" t="s">
        <v>316</v>
      </c>
      <c r="F15" s="35">
        <v>40551</v>
      </c>
      <c r="G15" s="36" t="str">
        <f t="shared" ca="1" si="0"/>
        <v>15 THN 7 BLN</v>
      </c>
      <c r="H15" s="35">
        <v>33086</v>
      </c>
      <c r="I15" s="36" t="str">
        <f t="shared" ca="1" si="1"/>
        <v>36 THN 0 BLN</v>
      </c>
      <c r="J15" s="64" t="s">
        <v>378</v>
      </c>
      <c r="K15" s="59" t="s">
        <v>362</v>
      </c>
      <c r="L15" s="40" t="s">
        <v>1</v>
      </c>
      <c r="M15" s="23" t="s">
        <v>313</v>
      </c>
      <c r="N15" s="36"/>
    </row>
    <row r="16" spans="1:14" x14ac:dyDescent="0.35">
      <c r="A16" s="2">
        <v>33</v>
      </c>
      <c r="B16" s="3" t="s">
        <v>71</v>
      </c>
      <c r="C16" s="23" t="s">
        <v>69</v>
      </c>
      <c r="D16" s="24"/>
      <c r="E16" s="24" t="s">
        <v>316</v>
      </c>
      <c r="F16" s="35">
        <v>41862</v>
      </c>
      <c r="G16" s="36" t="str">
        <f t="shared" ca="1" si="0"/>
        <v>12 THN 0 BLN</v>
      </c>
      <c r="H16" s="35">
        <v>25423</v>
      </c>
      <c r="I16" s="36" t="str">
        <f t="shared" ca="1" si="1"/>
        <v>57 THN 0 BLN</v>
      </c>
      <c r="J16" s="64" t="s">
        <v>377</v>
      </c>
      <c r="K16" s="59" t="s">
        <v>362</v>
      </c>
      <c r="L16" s="40" t="s">
        <v>1</v>
      </c>
      <c r="M16" s="23" t="s">
        <v>309</v>
      </c>
      <c r="N16" s="36" t="s">
        <v>109</v>
      </c>
    </row>
    <row r="17" spans="1:16" x14ac:dyDescent="0.35">
      <c r="A17" s="2">
        <v>39</v>
      </c>
      <c r="B17" s="3" t="s">
        <v>42</v>
      </c>
      <c r="C17" s="23" t="s">
        <v>192</v>
      </c>
      <c r="D17" s="24"/>
      <c r="E17" s="24" t="s">
        <v>316</v>
      </c>
      <c r="F17" s="35">
        <v>42215</v>
      </c>
      <c r="G17" s="36" t="str">
        <f t="shared" ca="1" si="0"/>
        <v>11 THN 0 BLN</v>
      </c>
      <c r="H17" s="35">
        <v>26055</v>
      </c>
      <c r="I17" s="36" t="str">
        <f t="shared" ca="1" si="1"/>
        <v>55 THN 3 BLN</v>
      </c>
      <c r="J17" s="64" t="s">
        <v>378</v>
      </c>
      <c r="K17" s="59" t="s">
        <v>362</v>
      </c>
      <c r="L17" s="40" t="s">
        <v>1</v>
      </c>
      <c r="M17" s="23" t="s">
        <v>309</v>
      </c>
      <c r="N17" s="36" t="s">
        <v>109</v>
      </c>
    </row>
    <row r="18" spans="1:16" x14ac:dyDescent="0.35">
      <c r="A18" s="2">
        <v>40</v>
      </c>
      <c r="B18" s="3" t="s">
        <v>195</v>
      </c>
      <c r="C18" s="23" t="s">
        <v>88</v>
      </c>
      <c r="D18" s="24"/>
      <c r="E18" s="24" t="s">
        <v>316</v>
      </c>
      <c r="F18" s="35">
        <v>41524</v>
      </c>
      <c r="G18" s="36" t="str">
        <f t="shared" ca="1" si="0"/>
        <v>12 THN 11 BLN</v>
      </c>
      <c r="H18" s="35">
        <v>35382</v>
      </c>
      <c r="I18" s="36" t="str">
        <f t="shared" ca="1" si="1"/>
        <v>29 THN 9 BLN</v>
      </c>
      <c r="J18" s="64" t="s">
        <v>378</v>
      </c>
      <c r="K18" s="59" t="s">
        <v>362</v>
      </c>
      <c r="L18" s="40" t="s">
        <v>1</v>
      </c>
      <c r="M18" s="23" t="s">
        <v>313</v>
      </c>
      <c r="N18" s="36"/>
    </row>
    <row r="19" spans="1:16" hidden="1" x14ac:dyDescent="0.35">
      <c r="A19" s="2">
        <v>45</v>
      </c>
      <c r="B19" s="3" t="s">
        <v>37</v>
      </c>
      <c r="C19" s="23" t="s">
        <v>34</v>
      </c>
      <c r="D19" s="24"/>
      <c r="E19" s="24" t="s">
        <v>291</v>
      </c>
      <c r="F19" s="35">
        <v>41866</v>
      </c>
      <c r="G19" s="36" t="str">
        <f t="shared" ca="1" si="0"/>
        <v>12 THN 0 BLN</v>
      </c>
      <c r="H19" s="35">
        <v>33396</v>
      </c>
      <c r="I19" s="36" t="str">
        <f t="shared" ca="1" si="1"/>
        <v>35 THN 2 BLN</v>
      </c>
      <c r="J19" s="64" t="s">
        <v>377</v>
      </c>
      <c r="K19" s="59" t="s">
        <v>362</v>
      </c>
      <c r="L19" s="40" t="s">
        <v>1</v>
      </c>
      <c r="M19" s="23" t="s">
        <v>309</v>
      </c>
      <c r="N19" s="36" t="s">
        <v>312</v>
      </c>
      <c r="O19" s="7">
        <v>46111</v>
      </c>
      <c r="P19" s="1" t="s">
        <v>379</v>
      </c>
    </row>
    <row r="20" spans="1:16" x14ac:dyDescent="0.35">
      <c r="A20" s="2">
        <v>65</v>
      </c>
      <c r="B20" s="3" t="s">
        <v>7</v>
      </c>
      <c r="C20" s="23" t="s">
        <v>6</v>
      </c>
      <c r="D20" s="24"/>
      <c r="E20" s="24" t="s">
        <v>316</v>
      </c>
      <c r="F20" s="35">
        <v>42044</v>
      </c>
      <c r="G20" s="36" t="str">
        <f t="shared" ca="1" si="0"/>
        <v>11 THN 6 BLN</v>
      </c>
      <c r="H20" s="35">
        <v>35212</v>
      </c>
      <c r="I20" s="36" t="str">
        <f t="shared" ca="1" si="1"/>
        <v>30 THN 3 BLN</v>
      </c>
      <c r="J20" s="64" t="s">
        <v>378</v>
      </c>
      <c r="K20" s="59" t="s">
        <v>362</v>
      </c>
      <c r="L20" s="40" t="s">
        <v>1</v>
      </c>
      <c r="M20" s="23" t="s">
        <v>308</v>
      </c>
      <c r="N20" s="36" t="s">
        <v>6</v>
      </c>
    </row>
    <row r="21" spans="1:16" x14ac:dyDescent="0.35">
      <c r="A21" s="2">
        <v>77</v>
      </c>
      <c r="B21" s="3" t="s">
        <v>43</v>
      </c>
      <c r="C21" s="23" t="s">
        <v>34</v>
      </c>
      <c r="D21" s="24" t="s">
        <v>194</v>
      </c>
      <c r="E21" s="24" t="s">
        <v>316</v>
      </c>
      <c r="F21" s="35">
        <v>42152</v>
      </c>
      <c r="G21" s="36" t="str">
        <f t="shared" ca="1" si="0"/>
        <v>11 THN 3 BLN</v>
      </c>
      <c r="H21" s="35">
        <v>25204</v>
      </c>
      <c r="I21" s="36" t="str">
        <f t="shared" ca="1" si="1"/>
        <v>57 THN 7 BLN</v>
      </c>
      <c r="J21" s="64" t="s">
        <v>378</v>
      </c>
      <c r="K21" s="59" t="s">
        <v>362</v>
      </c>
      <c r="L21" s="40" t="s">
        <v>1</v>
      </c>
      <c r="M21" s="23" t="s">
        <v>309</v>
      </c>
      <c r="N21" s="36" t="s">
        <v>109</v>
      </c>
    </row>
    <row r="22" spans="1:16" x14ac:dyDescent="0.35">
      <c r="A22" s="2">
        <v>82</v>
      </c>
      <c r="B22" s="3" t="s">
        <v>38</v>
      </c>
      <c r="C22" s="23" t="s">
        <v>88</v>
      </c>
      <c r="D22" s="24"/>
      <c r="E22" s="24" t="s">
        <v>316</v>
      </c>
      <c r="F22" s="35">
        <v>42212</v>
      </c>
      <c r="G22" s="36" t="str">
        <f t="shared" ca="1" si="0"/>
        <v>11 THN 1 BLN</v>
      </c>
      <c r="H22" s="35">
        <v>34624</v>
      </c>
      <c r="I22" s="36" t="str">
        <f t="shared" ca="1" si="1"/>
        <v>31 THN 10 BLN</v>
      </c>
      <c r="J22" s="64" t="s">
        <v>378</v>
      </c>
      <c r="K22" s="59" t="s">
        <v>362</v>
      </c>
      <c r="L22" s="40" t="s">
        <v>1</v>
      </c>
      <c r="M22" s="23" t="s">
        <v>313</v>
      </c>
      <c r="N22" s="36"/>
    </row>
    <row r="23" spans="1:16" x14ac:dyDescent="0.35">
      <c r="A23" s="2">
        <v>101</v>
      </c>
      <c r="B23" s="3" t="s">
        <v>56</v>
      </c>
      <c r="C23" s="23" t="s">
        <v>88</v>
      </c>
      <c r="D23" s="24"/>
      <c r="E23" s="24" t="s">
        <v>316</v>
      </c>
      <c r="F23" s="35">
        <v>42522</v>
      </c>
      <c r="G23" s="36" t="str">
        <f t="shared" ca="1" si="0"/>
        <v>10 THN 2 BLN</v>
      </c>
      <c r="H23" s="35">
        <v>29395</v>
      </c>
      <c r="I23" s="36" t="str">
        <f t="shared" ca="1" si="1"/>
        <v>46 THN 2 BLN</v>
      </c>
      <c r="J23" s="64" t="s">
        <v>378</v>
      </c>
      <c r="K23" s="59" t="s">
        <v>362</v>
      </c>
      <c r="L23" s="40" t="s">
        <v>1</v>
      </c>
      <c r="M23" s="23" t="s">
        <v>313</v>
      </c>
      <c r="N23" s="36"/>
    </row>
    <row r="24" spans="1:16" x14ac:dyDescent="0.35">
      <c r="A24" s="2">
        <v>105</v>
      </c>
      <c r="B24" s="3" t="s">
        <v>11</v>
      </c>
      <c r="C24" s="23" t="s">
        <v>6</v>
      </c>
      <c r="D24" s="24" t="s">
        <v>192</v>
      </c>
      <c r="E24" s="24" t="s">
        <v>316</v>
      </c>
      <c r="F24" s="35">
        <v>42339</v>
      </c>
      <c r="G24" s="36" t="str">
        <f t="shared" ca="1" si="0"/>
        <v>10 THN 8 BLN</v>
      </c>
      <c r="H24" s="35">
        <v>31567</v>
      </c>
      <c r="I24" s="36" t="str">
        <f t="shared" ca="1" si="1"/>
        <v>40 THN 2 BLN</v>
      </c>
      <c r="J24" s="64" t="s">
        <v>377</v>
      </c>
      <c r="K24" s="59" t="s">
        <v>362</v>
      </c>
      <c r="L24" s="40" t="s">
        <v>1</v>
      </c>
      <c r="M24" s="23" t="s">
        <v>308</v>
      </c>
      <c r="N24" s="36" t="s">
        <v>6</v>
      </c>
    </row>
    <row r="25" spans="1:16" x14ac:dyDescent="0.35">
      <c r="A25" s="2">
        <v>123</v>
      </c>
      <c r="B25" s="3" t="s">
        <v>17</v>
      </c>
      <c r="C25" s="23" t="s">
        <v>6</v>
      </c>
      <c r="D25" s="24"/>
      <c r="E25" s="24" t="s">
        <v>316</v>
      </c>
      <c r="F25" s="35">
        <v>42436</v>
      </c>
      <c r="G25" s="36" t="str">
        <f t="shared" ca="1" si="0"/>
        <v>10 THN 5 BLN</v>
      </c>
      <c r="H25" s="35">
        <v>34314</v>
      </c>
      <c r="I25" s="36" t="str">
        <f t="shared" ca="1" si="1"/>
        <v>32 THN 8 BLN</v>
      </c>
      <c r="J25" s="64" t="s">
        <v>377</v>
      </c>
      <c r="K25" s="59" t="s">
        <v>317</v>
      </c>
      <c r="L25" s="40" t="s">
        <v>1</v>
      </c>
      <c r="M25" s="23" t="s">
        <v>308</v>
      </c>
      <c r="N25" s="36" t="s">
        <v>6</v>
      </c>
    </row>
    <row r="26" spans="1:16" x14ac:dyDescent="0.35">
      <c r="A26" s="2">
        <v>124</v>
      </c>
      <c r="B26" s="3" t="s">
        <v>196</v>
      </c>
      <c r="C26" s="23" t="s">
        <v>6</v>
      </c>
      <c r="D26" s="24" t="s">
        <v>36</v>
      </c>
      <c r="E26" s="24" t="s">
        <v>316</v>
      </c>
      <c r="F26" s="35">
        <v>42462</v>
      </c>
      <c r="G26" s="36" t="str">
        <f t="shared" ca="1" si="0"/>
        <v>10 THN 4 BLN</v>
      </c>
      <c r="H26" s="35">
        <v>34799</v>
      </c>
      <c r="I26" s="36" t="str">
        <f t="shared" ca="1" si="1"/>
        <v>31 THN 4 BLN</v>
      </c>
      <c r="J26" s="64" t="s">
        <v>377</v>
      </c>
      <c r="K26" s="59" t="s">
        <v>317</v>
      </c>
      <c r="L26" s="40" t="s">
        <v>1</v>
      </c>
      <c r="M26" s="23" t="s">
        <v>308</v>
      </c>
      <c r="N26" s="36" t="s">
        <v>6</v>
      </c>
    </row>
    <row r="27" spans="1:16" x14ac:dyDescent="0.35">
      <c r="A27" s="2">
        <v>125</v>
      </c>
      <c r="B27" s="3" t="s">
        <v>26</v>
      </c>
      <c r="C27" s="23" t="s">
        <v>6</v>
      </c>
      <c r="D27" s="24"/>
      <c r="E27" s="24" t="s">
        <v>316</v>
      </c>
      <c r="F27" s="35">
        <v>42462</v>
      </c>
      <c r="G27" s="36" t="str">
        <f t="shared" ca="1" si="0"/>
        <v>10 THN 4 BLN</v>
      </c>
      <c r="H27" s="35">
        <v>29989</v>
      </c>
      <c r="I27" s="36" t="str">
        <f t="shared" ca="1" si="1"/>
        <v>44 THN 6 BLN</v>
      </c>
      <c r="J27" s="64" t="s">
        <v>377</v>
      </c>
      <c r="K27" s="59" t="s">
        <v>317</v>
      </c>
      <c r="L27" s="40" t="s">
        <v>1</v>
      </c>
      <c r="M27" s="23" t="s">
        <v>308</v>
      </c>
      <c r="N27" s="36" t="s">
        <v>6</v>
      </c>
    </row>
    <row r="28" spans="1:16" x14ac:dyDescent="0.35">
      <c r="A28" s="2">
        <v>132</v>
      </c>
      <c r="B28" s="3" t="s">
        <v>79</v>
      </c>
      <c r="C28" s="23" t="s">
        <v>77</v>
      </c>
      <c r="D28" s="24"/>
      <c r="E28" s="24" t="s">
        <v>316</v>
      </c>
      <c r="F28" s="35">
        <v>42514</v>
      </c>
      <c r="G28" s="36" t="str">
        <f t="shared" ca="1" si="0"/>
        <v>10 THN 3 BLN</v>
      </c>
      <c r="H28" s="35">
        <v>25334</v>
      </c>
      <c r="I28" s="36" t="str">
        <f t="shared" ca="1" si="1"/>
        <v>57 THN 3 BLN</v>
      </c>
      <c r="J28" s="64" t="s">
        <v>377</v>
      </c>
      <c r="K28" s="59" t="s">
        <v>317</v>
      </c>
      <c r="L28" s="40" t="s">
        <v>1</v>
      </c>
      <c r="M28" s="23" t="s">
        <v>309</v>
      </c>
      <c r="N28" s="36" t="s">
        <v>109</v>
      </c>
    </row>
    <row r="29" spans="1:16" x14ac:dyDescent="0.35">
      <c r="A29" s="2">
        <v>146</v>
      </c>
      <c r="B29" s="3" t="s">
        <v>10</v>
      </c>
      <c r="C29" s="23" t="s">
        <v>6</v>
      </c>
      <c r="D29" s="24"/>
      <c r="E29" s="24" t="s">
        <v>316</v>
      </c>
      <c r="F29" s="35">
        <v>42675</v>
      </c>
      <c r="G29" s="36" t="str">
        <f t="shared" ca="1" si="0"/>
        <v>9 THN 9 BLN</v>
      </c>
      <c r="H29" s="35">
        <v>35818</v>
      </c>
      <c r="I29" s="36" t="str">
        <f t="shared" ca="1" si="1"/>
        <v>28 THN 7 BLN</v>
      </c>
      <c r="J29" s="64" t="s">
        <v>378</v>
      </c>
      <c r="K29" s="59" t="s">
        <v>317</v>
      </c>
      <c r="L29" s="40" t="s">
        <v>1</v>
      </c>
      <c r="M29" s="23" t="s">
        <v>308</v>
      </c>
      <c r="N29" s="36" t="s">
        <v>6</v>
      </c>
    </row>
    <row r="30" spans="1:16" x14ac:dyDescent="0.35">
      <c r="A30" s="2">
        <v>154</v>
      </c>
      <c r="B30" s="3" t="s">
        <v>44</v>
      </c>
      <c r="C30" s="23" t="s">
        <v>34</v>
      </c>
      <c r="D30" s="24" t="s">
        <v>197</v>
      </c>
      <c r="E30" s="24" t="s">
        <v>316</v>
      </c>
      <c r="F30" s="35">
        <v>42752</v>
      </c>
      <c r="G30" s="36" t="str">
        <f t="shared" ca="1" si="0"/>
        <v>9 THN 7 BLN</v>
      </c>
      <c r="H30" s="35">
        <v>31111</v>
      </c>
      <c r="I30" s="36" t="str">
        <f t="shared" ca="1" si="1"/>
        <v>41 THN 5 BLN</v>
      </c>
      <c r="J30" s="64" t="s">
        <v>378</v>
      </c>
      <c r="K30" s="59" t="s">
        <v>317</v>
      </c>
      <c r="L30" s="40" t="s">
        <v>1</v>
      </c>
      <c r="M30" s="23" t="s">
        <v>313</v>
      </c>
      <c r="N30" s="36"/>
    </row>
    <row r="31" spans="1:16" x14ac:dyDescent="0.35">
      <c r="A31" s="2">
        <v>157</v>
      </c>
      <c r="B31" s="3" t="s">
        <v>45</v>
      </c>
      <c r="C31" s="23" t="s">
        <v>34</v>
      </c>
      <c r="D31" s="24" t="s">
        <v>198</v>
      </c>
      <c r="E31" s="24" t="s">
        <v>316</v>
      </c>
      <c r="F31" s="35">
        <v>42753</v>
      </c>
      <c r="G31" s="36" t="str">
        <f t="shared" ca="1" si="0"/>
        <v>9 THN 7 BLN</v>
      </c>
      <c r="H31" s="35">
        <v>31672</v>
      </c>
      <c r="I31" s="36" t="str">
        <f t="shared" ca="1" si="1"/>
        <v>39 THN 11 BLN</v>
      </c>
      <c r="J31" s="64" t="s">
        <v>378</v>
      </c>
      <c r="K31" s="59" t="s">
        <v>317</v>
      </c>
      <c r="L31" s="40" t="s">
        <v>1</v>
      </c>
      <c r="M31" s="23" t="s">
        <v>313</v>
      </c>
      <c r="N31" s="36"/>
    </row>
    <row r="32" spans="1:16" x14ac:dyDescent="0.35">
      <c r="A32" s="2">
        <v>171</v>
      </c>
      <c r="B32" s="3" t="s">
        <v>39</v>
      </c>
      <c r="C32" s="23" t="s">
        <v>34</v>
      </c>
      <c r="D32" s="24" t="s">
        <v>198</v>
      </c>
      <c r="E32" s="24" t="s">
        <v>316</v>
      </c>
      <c r="F32" s="35">
        <v>42789</v>
      </c>
      <c r="G32" s="36" t="str">
        <f t="shared" ca="1" si="0"/>
        <v>9 THN 6 BLN</v>
      </c>
      <c r="H32" s="35">
        <v>32863</v>
      </c>
      <c r="I32" s="36" t="str">
        <f t="shared" ca="1" si="1"/>
        <v>36 THN 8 BLN</v>
      </c>
      <c r="J32" s="64" t="s">
        <v>378</v>
      </c>
      <c r="K32" s="59" t="s">
        <v>317</v>
      </c>
      <c r="L32" s="40" t="s">
        <v>1</v>
      </c>
      <c r="M32" s="23" t="s">
        <v>313</v>
      </c>
      <c r="N32" s="36"/>
    </row>
    <row r="33" spans="1:14" x14ac:dyDescent="0.35">
      <c r="A33" s="2">
        <v>202</v>
      </c>
      <c r="B33" s="3" t="s">
        <v>50</v>
      </c>
      <c r="C33" s="23" t="s">
        <v>34</v>
      </c>
      <c r="D33" s="24" t="s">
        <v>193</v>
      </c>
      <c r="E33" s="24" t="s">
        <v>316</v>
      </c>
      <c r="F33" s="35">
        <v>42903</v>
      </c>
      <c r="G33" s="36" t="str">
        <f t="shared" ca="1" si="0"/>
        <v>9 THN 2 BLN</v>
      </c>
      <c r="H33" s="35">
        <v>34213</v>
      </c>
      <c r="I33" s="36" t="str">
        <f t="shared" ca="1" si="1"/>
        <v>32 THN 11 BLN</v>
      </c>
      <c r="J33" s="64" t="s">
        <v>377</v>
      </c>
      <c r="K33" s="59" t="s">
        <v>317</v>
      </c>
      <c r="L33" s="40" t="s">
        <v>1</v>
      </c>
      <c r="M33" s="23" t="s">
        <v>309</v>
      </c>
      <c r="N33" s="36" t="s">
        <v>312</v>
      </c>
    </row>
    <row r="34" spans="1:14" x14ac:dyDescent="0.35">
      <c r="A34" s="2">
        <v>205</v>
      </c>
      <c r="B34" s="3" t="s">
        <v>64</v>
      </c>
      <c r="C34" s="23" t="s">
        <v>6</v>
      </c>
      <c r="D34" s="24" t="s">
        <v>189</v>
      </c>
      <c r="E34" s="24" t="s">
        <v>316</v>
      </c>
      <c r="F34" s="35">
        <v>42954</v>
      </c>
      <c r="G34" s="36" t="str">
        <f t="shared" ca="1" si="0"/>
        <v>9 THN 0 BLN</v>
      </c>
      <c r="H34" s="35">
        <v>32608</v>
      </c>
      <c r="I34" s="36" t="str">
        <f t="shared" ca="1" si="1"/>
        <v>37 THN 4 BLN</v>
      </c>
      <c r="J34" s="64" t="s">
        <v>377</v>
      </c>
      <c r="K34" s="59" t="s">
        <v>317</v>
      </c>
      <c r="L34" s="40" t="s">
        <v>1</v>
      </c>
      <c r="M34" s="23" t="s">
        <v>309</v>
      </c>
      <c r="N34" s="36" t="s">
        <v>312</v>
      </c>
    </row>
    <row r="35" spans="1:14" x14ac:dyDescent="0.35">
      <c r="A35" s="2">
        <v>234</v>
      </c>
      <c r="B35" s="3" t="s">
        <v>66</v>
      </c>
      <c r="C35" s="23" t="s">
        <v>90</v>
      </c>
      <c r="D35" s="24"/>
      <c r="E35" s="24" t="s">
        <v>316</v>
      </c>
      <c r="F35" s="35">
        <v>43290</v>
      </c>
      <c r="G35" s="36" t="str">
        <f t="shared" ref="G35:G66" ca="1" si="2">DATEDIF(F35,TODAY(),"Y")&amp; " THN "&amp;DATEDIF(F35,TODAY(),"YM")&amp;" BLN"</f>
        <v>8 THN 1 BLN</v>
      </c>
      <c r="H35" s="35">
        <v>34321</v>
      </c>
      <c r="I35" s="36" t="str">
        <f t="shared" ref="I35:I66" ca="1" si="3">DATEDIF(H35,TODAY(),"Y")&amp; " THN "&amp;DATEDIF(H35,TODAY(),"YM")&amp;" BLN"</f>
        <v>32 THN 8 BLN</v>
      </c>
      <c r="J35" s="64" t="s">
        <v>377</v>
      </c>
      <c r="K35" s="59" t="s">
        <v>317</v>
      </c>
      <c r="L35" s="40" t="s">
        <v>1</v>
      </c>
      <c r="M35" s="23" t="s">
        <v>309</v>
      </c>
      <c r="N35" s="36" t="s">
        <v>312</v>
      </c>
    </row>
    <row r="36" spans="1:14" x14ac:dyDescent="0.35">
      <c r="A36" s="2">
        <v>239</v>
      </c>
      <c r="B36" s="3" t="s">
        <v>46</v>
      </c>
      <c r="C36" s="23" t="s">
        <v>34</v>
      </c>
      <c r="D36" s="24" t="s">
        <v>198</v>
      </c>
      <c r="E36" s="24" t="s">
        <v>316</v>
      </c>
      <c r="F36" s="37">
        <v>43293</v>
      </c>
      <c r="G36" s="36" t="str">
        <f t="shared" ca="1" si="2"/>
        <v>8 THN 1 BLN</v>
      </c>
      <c r="H36" s="35">
        <v>29127</v>
      </c>
      <c r="I36" s="36" t="str">
        <f t="shared" ca="1" si="3"/>
        <v>46 THN 11 BLN</v>
      </c>
      <c r="J36" s="64" t="s">
        <v>378</v>
      </c>
      <c r="K36" s="59" t="s">
        <v>317</v>
      </c>
      <c r="L36" s="40" t="s">
        <v>1</v>
      </c>
      <c r="M36" s="23" t="s">
        <v>313</v>
      </c>
      <c r="N36" s="36"/>
    </row>
    <row r="37" spans="1:14" x14ac:dyDescent="0.35">
      <c r="A37" s="2">
        <v>242</v>
      </c>
      <c r="B37" s="3" t="s">
        <v>76</v>
      </c>
      <c r="C37" s="23" t="s">
        <v>199</v>
      </c>
      <c r="D37" s="24"/>
      <c r="E37" s="24" t="s">
        <v>316</v>
      </c>
      <c r="F37" s="35">
        <v>43299</v>
      </c>
      <c r="G37" s="36" t="str">
        <f t="shared" ca="1" si="2"/>
        <v>8 THN 1 BLN</v>
      </c>
      <c r="H37" s="35">
        <v>28636</v>
      </c>
      <c r="I37" s="36" t="str">
        <f t="shared" ca="1" si="3"/>
        <v>48 THN 3 BLN</v>
      </c>
      <c r="J37" s="64" t="s">
        <v>377</v>
      </c>
      <c r="K37" s="59" t="s">
        <v>317</v>
      </c>
      <c r="L37" s="40" t="s">
        <v>1</v>
      </c>
      <c r="M37" s="23" t="s">
        <v>309</v>
      </c>
      <c r="N37" s="36" t="s">
        <v>311</v>
      </c>
    </row>
    <row r="38" spans="1:14" x14ac:dyDescent="0.35">
      <c r="A38" s="2">
        <v>247</v>
      </c>
      <c r="B38" s="3" t="s">
        <v>110</v>
      </c>
      <c r="C38" s="23" t="s">
        <v>34</v>
      </c>
      <c r="D38" s="24" t="s">
        <v>200</v>
      </c>
      <c r="E38" s="24" t="s">
        <v>316</v>
      </c>
      <c r="F38" s="35">
        <v>43325</v>
      </c>
      <c r="G38" s="36" t="str">
        <f t="shared" ca="1" si="2"/>
        <v>8 THN 0 BLN</v>
      </c>
      <c r="H38" s="35">
        <v>30443</v>
      </c>
      <c r="I38" s="36" t="str">
        <f t="shared" ca="1" si="3"/>
        <v>43 THN 3 BLN</v>
      </c>
      <c r="J38" s="64" t="s">
        <v>377</v>
      </c>
      <c r="K38" s="59" t="s">
        <v>317</v>
      </c>
      <c r="L38" s="40" t="s">
        <v>1</v>
      </c>
      <c r="M38" s="23" t="s">
        <v>313</v>
      </c>
      <c r="N38" s="36"/>
    </row>
    <row r="39" spans="1:14" x14ac:dyDescent="0.35">
      <c r="A39" s="2">
        <v>263</v>
      </c>
      <c r="B39" s="3" t="s">
        <v>201</v>
      </c>
      <c r="C39" s="23" t="s">
        <v>90</v>
      </c>
      <c r="D39" s="24"/>
      <c r="E39" s="24" t="s">
        <v>316</v>
      </c>
      <c r="F39" s="35">
        <v>43347</v>
      </c>
      <c r="G39" s="36" t="str">
        <f t="shared" ca="1" si="2"/>
        <v>7 THN 11 BLN</v>
      </c>
      <c r="H39" s="35">
        <v>33595</v>
      </c>
      <c r="I39" s="36" t="str">
        <f t="shared" ca="1" si="3"/>
        <v>34 THN 8 BLN</v>
      </c>
      <c r="J39" s="64" t="s">
        <v>377</v>
      </c>
      <c r="K39" s="59" t="s">
        <v>317</v>
      </c>
      <c r="L39" s="40" t="s">
        <v>1</v>
      </c>
      <c r="M39" s="23" t="s">
        <v>309</v>
      </c>
      <c r="N39" s="36" t="s">
        <v>312</v>
      </c>
    </row>
    <row r="40" spans="1:14" x14ac:dyDescent="0.35">
      <c r="A40" s="2">
        <v>283</v>
      </c>
      <c r="B40" s="3" t="s">
        <v>202</v>
      </c>
      <c r="C40" s="23" t="s">
        <v>25</v>
      </c>
      <c r="D40" s="24"/>
      <c r="E40" s="24" t="s">
        <v>316</v>
      </c>
      <c r="F40" s="35">
        <v>43493</v>
      </c>
      <c r="G40" s="36" t="str">
        <f t="shared" ca="1" si="2"/>
        <v>7 THN 7 BLN</v>
      </c>
      <c r="H40" s="35">
        <v>34000</v>
      </c>
      <c r="I40" s="36" t="str">
        <f t="shared" ca="1" si="3"/>
        <v>33 THN 6 BLN</v>
      </c>
      <c r="J40" s="64" t="s">
        <v>377</v>
      </c>
      <c r="K40" s="59" t="s">
        <v>317</v>
      </c>
      <c r="L40" s="40" t="s">
        <v>1</v>
      </c>
      <c r="M40" s="23" t="s">
        <v>309</v>
      </c>
      <c r="N40" s="36" t="s">
        <v>312</v>
      </c>
    </row>
    <row r="41" spans="1:14" x14ac:dyDescent="0.35">
      <c r="A41" s="2">
        <v>295</v>
      </c>
      <c r="B41" s="3" t="s">
        <v>96</v>
      </c>
      <c r="C41" s="23" t="s">
        <v>199</v>
      </c>
      <c r="D41" s="24"/>
      <c r="E41" s="24" t="s">
        <v>316</v>
      </c>
      <c r="F41" s="35">
        <v>43509</v>
      </c>
      <c r="G41" s="36" t="str">
        <f t="shared" ca="1" si="2"/>
        <v>7 THN 6 BLN</v>
      </c>
      <c r="H41" s="35">
        <v>26829</v>
      </c>
      <c r="I41" s="36" t="str">
        <f t="shared" ca="1" si="3"/>
        <v>53 THN 2 BLN</v>
      </c>
      <c r="J41" s="64" t="s">
        <v>377</v>
      </c>
      <c r="K41" s="59" t="s">
        <v>317</v>
      </c>
      <c r="L41" s="40" t="s">
        <v>1</v>
      </c>
      <c r="M41" s="23" t="s">
        <v>309</v>
      </c>
      <c r="N41" s="36" t="s">
        <v>311</v>
      </c>
    </row>
    <row r="42" spans="1:14" x14ac:dyDescent="0.35">
      <c r="A42" s="2">
        <v>303</v>
      </c>
      <c r="B42" s="3" t="s">
        <v>51</v>
      </c>
      <c r="C42" s="23" t="s">
        <v>34</v>
      </c>
      <c r="D42" s="24" t="s">
        <v>203</v>
      </c>
      <c r="E42" s="24" t="s">
        <v>316</v>
      </c>
      <c r="F42" s="35">
        <v>43150</v>
      </c>
      <c r="G42" s="36" t="str">
        <f t="shared" ca="1" si="2"/>
        <v>8 THN 6 BLN</v>
      </c>
      <c r="H42" s="35">
        <v>30297</v>
      </c>
      <c r="I42" s="36" t="str">
        <f t="shared" ca="1" si="3"/>
        <v>43 THN 8 BLN</v>
      </c>
      <c r="J42" s="64" t="s">
        <v>377</v>
      </c>
      <c r="K42" s="59" t="s">
        <v>317</v>
      </c>
      <c r="L42" s="40" t="s">
        <v>1</v>
      </c>
      <c r="M42" s="23" t="s">
        <v>309</v>
      </c>
      <c r="N42" s="36" t="s">
        <v>312</v>
      </c>
    </row>
    <row r="43" spans="1:14" x14ac:dyDescent="0.35">
      <c r="A43" s="2">
        <v>304</v>
      </c>
      <c r="B43" s="3" t="s">
        <v>102</v>
      </c>
      <c r="C43" s="23" t="s">
        <v>34</v>
      </c>
      <c r="D43" s="24" t="s">
        <v>204</v>
      </c>
      <c r="E43" s="24" t="s">
        <v>316</v>
      </c>
      <c r="F43" s="35">
        <v>43525</v>
      </c>
      <c r="G43" s="36" t="str">
        <f t="shared" ca="1" si="2"/>
        <v>7 THN 5 BLN</v>
      </c>
      <c r="H43" s="35">
        <v>34586</v>
      </c>
      <c r="I43" s="36" t="str">
        <f t="shared" ca="1" si="3"/>
        <v>31 THN 11 BLN</v>
      </c>
      <c r="J43" s="64" t="s">
        <v>377</v>
      </c>
      <c r="K43" s="59" t="s">
        <v>362</v>
      </c>
      <c r="L43" s="40" t="s">
        <v>317</v>
      </c>
      <c r="M43" s="23" t="s">
        <v>309</v>
      </c>
      <c r="N43" s="36" t="s">
        <v>312</v>
      </c>
    </row>
    <row r="44" spans="1:14" x14ac:dyDescent="0.35">
      <c r="A44" s="2">
        <v>306</v>
      </c>
      <c r="B44" s="3" t="s">
        <v>103</v>
      </c>
      <c r="C44" s="23" t="s">
        <v>34</v>
      </c>
      <c r="D44" s="24" t="s">
        <v>204</v>
      </c>
      <c r="E44" s="24" t="s">
        <v>316</v>
      </c>
      <c r="F44" s="35">
        <v>43525</v>
      </c>
      <c r="G44" s="36" t="str">
        <f t="shared" ca="1" si="2"/>
        <v>7 THN 5 BLN</v>
      </c>
      <c r="H44" s="35">
        <v>34500</v>
      </c>
      <c r="I44" s="36" t="str">
        <f t="shared" ca="1" si="3"/>
        <v>32 THN 2 BLN</v>
      </c>
      <c r="J44" s="64" t="s">
        <v>377</v>
      </c>
      <c r="K44" s="59" t="s">
        <v>362</v>
      </c>
      <c r="L44" s="40" t="s">
        <v>317</v>
      </c>
      <c r="M44" s="23" t="s">
        <v>309</v>
      </c>
      <c r="N44" s="36" t="s">
        <v>312</v>
      </c>
    </row>
    <row r="45" spans="1:14" x14ac:dyDescent="0.35">
      <c r="A45" s="2">
        <v>322</v>
      </c>
      <c r="B45" s="3" t="s">
        <v>84</v>
      </c>
      <c r="C45" s="23" t="s">
        <v>25</v>
      </c>
      <c r="D45" s="24"/>
      <c r="E45" s="24" t="s">
        <v>316</v>
      </c>
      <c r="F45" s="37">
        <v>43658</v>
      </c>
      <c r="G45" s="36" t="str">
        <f t="shared" ca="1" si="2"/>
        <v>7 THN 1 BLN</v>
      </c>
      <c r="H45" s="35">
        <v>36884</v>
      </c>
      <c r="I45" s="36" t="str">
        <f t="shared" ca="1" si="3"/>
        <v>25 THN 8 BLN</v>
      </c>
      <c r="J45" s="64" t="s">
        <v>377</v>
      </c>
      <c r="K45" s="59" t="s">
        <v>317</v>
      </c>
      <c r="L45" s="40" t="s">
        <v>1</v>
      </c>
      <c r="M45" s="23" t="s">
        <v>309</v>
      </c>
      <c r="N45" s="36" t="s">
        <v>312</v>
      </c>
    </row>
    <row r="46" spans="1:14" x14ac:dyDescent="0.35">
      <c r="A46" s="2">
        <v>332</v>
      </c>
      <c r="B46" s="3" t="s">
        <v>97</v>
      </c>
      <c r="C46" s="23" t="s">
        <v>6</v>
      </c>
      <c r="D46" s="24"/>
      <c r="E46" s="24" t="s">
        <v>316</v>
      </c>
      <c r="F46" s="35">
        <v>43703</v>
      </c>
      <c r="G46" s="36" t="str">
        <f t="shared" ca="1" si="2"/>
        <v>7 THN 0 BLN</v>
      </c>
      <c r="H46" s="35">
        <v>31587</v>
      </c>
      <c r="I46" s="36" t="str">
        <f t="shared" ca="1" si="3"/>
        <v>40 THN 2 BLN</v>
      </c>
      <c r="J46" s="64" t="s">
        <v>378</v>
      </c>
      <c r="K46" s="59" t="s">
        <v>317</v>
      </c>
      <c r="L46" s="40" t="s">
        <v>317</v>
      </c>
      <c r="M46" s="23" t="s">
        <v>308</v>
      </c>
      <c r="N46" s="36" t="s">
        <v>6</v>
      </c>
    </row>
    <row r="47" spans="1:14" x14ac:dyDescent="0.35">
      <c r="A47" s="2">
        <v>341</v>
      </c>
      <c r="B47" s="3" t="s">
        <v>118</v>
      </c>
      <c r="C47" s="23" t="s">
        <v>69</v>
      </c>
      <c r="D47" s="24"/>
      <c r="E47" s="24" t="s">
        <v>316</v>
      </c>
      <c r="F47" s="35">
        <v>43823</v>
      </c>
      <c r="G47" s="36" t="str">
        <f t="shared" ca="1" si="2"/>
        <v>6 THN 8 BLN</v>
      </c>
      <c r="H47" s="35">
        <v>29104</v>
      </c>
      <c r="I47" s="36" t="str">
        <f t="shared" ca="1" si="3"/>
        <v>46 THN 11 BLN</v>
      </c>
      <c r="J47" s="64" t="s">
        <v>377</v>
      </c>
      <c r="K47" s="59" t="s">
        <v>317</v>
      </c>
      <c r="L47" s="40" t="s">
        <v>317</v>
      </c>
      <c r="M47" s="23" t="s">
        <v>309</v>
      </c>
      <c r="N47" s="36" t="s">
        <v>311</v>
      </c>
    </row>
    <row r="48" spans="1:14" x14ac:dyDescent="0.35">
      <c r="A48" s="2">
        <v>348</v>
      </c>
      <c r="B48" s="3" t="s">
        <v>115</v>
      </c>
      <c r="C48" s="23" t="s">
        <v>192</v>
      </c>
      <c r="D48" s="24" t="s">
        <v>205</v>
      </c>
      <c r="E48" s="24" t="s">
        <v>316</v>
      </c>
      <c r="F48" s="37">
        <v>43881</v>
      </c>
      <c r="G48" s="36" t="str">
        <f t="shared" ca="1" si="2"/>
        <v>6 THN 6 BLN</v>
      </c>
      <c r="H48" s="35">
        <v>35701</v>
      </c>
      <c r="I48" s="36" t="str">
        <f t="shared" ca="1" si="3"/>
        <v>28 THN 11 BLN</v>
      </c>
      <c r="J48" s="64" t="s">
        <v>377</v>
      </c>
      <c r="K48" s="59" t="s">
        <v>317</v>
      </c>
      <c r="L48" s="40" t="s">
        <v>317</v>
      </c>
      <c r="M48" s="23" t="s">
        <v>313</v>
      </c>
      <c r="N48" s="36"/>
    </row>
    <row r="49" spans="1:14" x14ac:dyDescent="0.35">
      <c r="A49" s="2">
        <v>354</v>
      </c>
      <c r="B49" s="3" t="s">
        <v>113</v>
      </c>
      <c r="C49" s="23" t="s">
        <v>16</v>
      </c>
      <c r="D49" s="24"/>
      <c r="E49" s="24" t="s">
        <v>316</v>
      </c>
      <c r="F49" s="35">
        <v>43910</v>
      </c>
      <c r="G49" s="36" t="str">
        <f t="shared" ca="1" si="2"/>
        <v>6 THN 5 BLN</v>
      </c>
      <c r="H49" s="35">
        <v>33490</v>
      </c>
      <c r="I49" s="36" t="str">
        <f t="shared" ca="1" si="3"/>
        <v>34 THN 11 BLN</v>
      </c>
      <c r="J49" s="64" t="s">
        <v>377</v>
      </c>
      <c r="K49" s="59" t="s">
        <v>317</v>
      </c>
      <c r="L49" s="40" t="s">
        <v>317</v>
      </c>
      <c r="M49" s="23" t="s">
        <v>309</v>
      </c>
      <c r="N49" s="36" t="s">
        <v>311</v>
      </c>
    </row>
    <row r="50" spans="1:14" x14ac:dyDescent="0.35">
      <c r="A50" s="2">
        <v>356</v>
      </c>
      <c r="B50" s="3" t="s">
        <v>114</v>
      </c>
      <c r="C50" s="23" t="s">
        <v>6</v>
      </c>
      <c r="D50" s="24" t="s">
        <v>206</v>
      </c>
      <c r="E50" s="24" t="s">
        <v>316</v>
      </c>
      <c r="F50" s="35">
        <v>44013</v>
      </c>
      <c r="G50" s="36" t="str">
        <f t="shared" ca="1" si="2"/>
        <v>6 THN 1 BLN</v>
      </c>
      <c r="H50" s="35">
        <v>33216</v>
      </c>
      <c r="I50" s="36" t="str">
        <f t="shared" ca="1" si="3"/>
        <v>35 THN 8 BLN</v>
      </c>
      <c r="J50" s="64" t="s">
        <v>377</v>
      </c>
      <c r="K50" s="59" t="s">
        <v>317</v>
      </c>
      <c r="L50" s="40" t="s">
        <v>317</v>
      </c>
      <c r="M50" s="23" t="s">
        <v>308</v>
      </c>
      <c r="N50" s="36" t="s">
        <v>6</v>
      </c>
    </row>
    <row r="51" spans="1:14" x14ac:dyDescent="0.35">
      <c r="A51" s="2">
        <v>361</v>
      </c>
      <c r="B51" s="3" t="s">
        <v>175</v>
      </c>
      <c r="C51" s="23" t="s">
        <v>199</v>
      </c>
      <c r="D51" s="24"/>
      <c r="E51" s="24" t="s">
        <v>316</v>
      </c>
      <c r="F51" s="35">
        <v>44058</v>
      </c>
      <c r="G51" s="36" t="str">
        <f t="shared" ca="1" si="2"/>
        <v>6 THN 0 BLN</v>
      </c>
      <c r="H51" s="35">
        <v>34860</v>
      </c>
      <c r="I51" s="36" t="str">
        <f t="shared" ca="1" si="3"/>
        <v>31 THN 2 BLN</v>
      </c>
      <c r="J51" s="64" t="s">
        <v>377</v>
      </c>
      <c r="K51" s="59" t="s">
        <v>317</v>
      </c>
      <c r="L51" s="40" t="s">
        <v>317</v>
      </c>
      <c r="M51" s="23" t="s">
        <v>309</v>
      </c>
      <c r="N51" s="36" t="s">
        <v>311</v>
      </c>
    </row>
    <row r="52" spans="1:14" x14ac:dyDescent="0.35">
      <c r="A52" s="2">
        <v>365</v>
      </c>
      <c r="B52" s="3" t="s">
        <v>165</v>
      </c>
      <c r="C52" s="23" t="s">
        <v>207</v>
      </c>
      <c r="D52" s="24"/>
      <c r="E52" s="24" t="s">
        <v>316</v>
      </c>
      <c r="F52" s="35">
        <v>44069</v>
      </c>
      <c r="G52" s="36" t="str">
        <f t="shared" ca="1" si="2"/>
        <v>6 THN 0 BLN</v>
      </c>
      <c r="H52" s="35">
        <v>37322</v>
      </c>
      <c r="I52" s="36" t="str">
        <f t="shared" ca="1" si="3"/>
        <v>24 THN 5 BLN</v>
      </c>
      <c r="J52" s="64" t="s">
        <v>377</v>
      </c>
      <c r="K52" s="59" t="s">
        <v>317</v>
      </c>
      <c r="L52" s="40" t="s">
        <v>317</v>
      </c>
      <c r="M52" s="23" t="s">
        <v>309</v>
      </c>
      <c r="N52" s="36" t="s">
        <v>312</v>
      </c>
    </row>
    <row r="53" spans="1:14" x14ac:dyDescent="0.35">
      <c r="A53" s="2">
        <v>370</v>
      </c>
      <c r="B53" s="3" t="s">
        <v>167</v>
      </c>
      <c r="C53" s="23" t="s">
        <v>34</v>
      </c>
      <c r="D53" s="24" t="s">
        <v>208</v>
      </c>
      <c r="E53" s="24" t="s">
        <v>316</v>
      </c>
      <c r="F53" s="35">
        <v>44088</v>
      </c>
      <c r="G53" s="36" t="str">
        <f t="shared" ca="1" si="2"/>
        <v>5 THN 11 BLN</v>
      </c>
      <c r="H53" s="35">
        <v>35598</v>
      </c>
      <c r="I53" s="36" t="str">
        <f t="shared" ca="1" si="3"/>
        <v>29 THN 2 BLN</v>
      </c>
      <c r="J53" s="64" t="s">
        <v>377</v>
      </c>
      <c r="K53" s="59" t="s">
        <v>317</v>
      </c>
      <c r="L53" s="40" t="s">
        <v>317</v>
      </c>
      <c r="M53" s="23" t="s">
        <v>313</v>
      </c>
      <c r="N53" s="36"/>
    </row>
    <row r="54" spans="1:14" x14ac:dyDescent="0.35">
      <c r="A54" s="2">
        <v>372</v>
      </c>
      <c r="B54" s="3" t="s">
        <v>153</v>
      </c>
      <c r="C54" s="23" t="s">
        <v>192</v>
      </c>
      <c r="D54" s="24"/>
      <c r="E54" s="24" t="s">
        <v>316</v>
      </c>
      <c r="F54" s="35">
        <v>44091</v>
      </c>
      <c r="G54" s="36" t="str">
        <f t="shared" ca="1" si="2"/>
        <v>5 THN 11 BLN</v>
      </c>
      <c r="H54" s="35">
        <v>37312</v>
      </c>
      <c r="I54" s="36" t="str">
        <f t="shared" ca="1" si="3"/>
        <v>24 THN 6 BLN</v>
      </c>
      <c r="J54" s="64" t="s">
        <v>377</v>
      </c>
      <c r="K54" s="59" t="s">
        <v>317</v>
      </c>
      <c r="L54" s="40" t="s">
        <v>317</v>
      </c>
      <c r="M54" s="23" t="s">
        <v>313</v>
      </c>
      <c r="N54" s="36"/>
    </row>
    <row r="55" spans="1:14" x14ac:dyDescent="0.35">
      <c r="A55" s="2">
        <v>373</v>
      </c>
      <c r="B55" s="3" t="s">
        <v>173</v>
      </c>
      <c r="C55" s="23" t="s">
        <v>90</v>
      </c>
      <c r="D55" s="24"/>
      <c r="E55" s="24" t="s">
        <v>316</v>
      </c>
      <c r="F55" s="37">
        <v>44095</v>
      </c>
      <c r="G55" s="36" t="str">
        <f t="shared" ca="1" si="2"/>
        <v>5 THN 11 BLN</v>
      </c>
      <c r="H55" s="35">
        <v>34865</v>
      </c>
      <c r="I55" s="36" t="str">
        <f t="shared" ca="1" si="3"/>
        <v>31 THN 2 BLN</v>
      </c>
      <c r="J55" s="64" t="s">
        <v>377</v>
      </c>
      <c r="K55" s="59" t="s">
        <v>317</v>
      </c>
      <c r="L55" s="40" t="s">
        <v>317</v>
      </c>
      <c r="M55" s="23" t="s">
        <v>319</v>
      </c>
      <c r="N55" s="36" t="s">
        <v>318</v>
      </c>
    </row>
    <row r="56" spans="1:14" x14ac:dyDescent="0.35">
      <c r="A56" s="2">
        <v>383</v>
      </c>
      <c r="B56" s="3" t="s">
        <v>209</v>
      </c>
      <c r="C56" s="23" t="s">
        <v>34</v>
      </c>
      <c r="D56" s="24" t="s">
        <v>210</v>
      </c>
      <c r="E56" s="24" t="s">
        <v>316</v>
      </c>
      <c r="F56" s="35">
        <v>44184</v>
      </c>
      <c r="G56" s="36" t="str">
        <f t="shared" ca="1" si="2"/>
        <v>5 THN 8 BLN</v>
      </c>
      <c r="H56" s="35">
        <v>37188</v>
      </c>
      <c r="I56" s="36" t="str">
        <f t="shared" ca="1" si="3"/>
        <v>24 THN 10 BLN</v>
      </c>
      <c r="J56" s="64" t="s">
        <v>377</v>
      </c>
      <c r="K56" s="59" t="s">
        <v>317</v>
      </c>
      <c r="L56" s="40" t="s">
        <v>317</v>
      </c>
      <c r="M56" s="23" t="s">
        <v>313</v>
      </c>
      <c r="N56" s="36"/>
    </row>
    <row r="57" spans="1:14" x14ac:dyDescent="0.35">
      <c r="A57" s="2">
        <v>387</v>
      </c>
      <c r="B57" s="3" t="s">
        <v>183</v>
      </c>
      <c r="C57" s="23" t="s">
        <v>6</v>
      </c>
      <c r="D57" s="24"/>
      <c r="E57" s="24" t="s">
        <v>316</v>
      </c>
      <c r="F57" s="35">
        <v>44172</v>
      </c>
      <c r="G57" s="36" t="str">
        <f t="shared" ca="1" si="2"/>
        <v>5 THN 8 BLN</v>
      </c>
      <c r="H57" s="35">
        <v>30634</v>
      </c>
      <c r="I57" s="36" t="str">
        <f t="shared" ca="1" si="3"/>
        <v>42 THN 9 BLN</v>
      </c>
      <c r="J57" s="64" t="s">
        <v>378</v>
      </c>
      <c r="K57" s="59" t="s">
        <v>317</v>
      </c>
      <c r="L57" s="40" t="s">
        <v>317</v>
      </c>
      <c r="M57" s="23" t="s">
        <v>308</v>
      </c>
      <c r="N57" s="36" t="s">
        <v>6</v>
      </c>
    </row>
    <row r="58" spans="1:14" x14ac:dyDescent="0.35">
      <c r="A58" s="2">
        <v>389</v>
      </c>
      <c r="B58" s="3" t="s">
        <v>211</v>
      </c>
      <c r="C58" s="23" t="s">
        <v>34</v>
      </c>
      <c r="D58" s="24" t="s">
        <v>212</v>
      </c>
      <c r="E58" s="24" t="s">
        <v>316</v>
      </c>
      <c r="F58" s="35">
        <v>44184</v>
      </c>
      <c r="G58" s="36" t="str">
        <f t="shared" ca="1" si="2"/>
        <v>5 THN 8 BLN</v>
      </c>
      <c r="H58" s="35">
        <v>37454</v>
      </c>
      <c r="I58" s="36" t="str">
        <f t="shared" ca="1" si="3"/>
        <v>24 THN 1 BLN</v>
      </c>
      <c r="J58" s="64" t="s">
        <v>377</v>
      </c>
      <c r="K58" s="59" t="s">
        <v>317</v>
      </c>
      <c r="L58" s="40" t="s">
        <v>317</v>
      </c>
      <c r="M58" s="23" t="s">
        <v>309</v>
      </c>
      <c r="N58" s="36" t="s">
        <v>312</v>
      </c>
    </row>
    <row r="59" spans="1:14" x14ac:dyDescent="0.35">
      <c r="A59" s="2">
        <v>391</v>
      </c>
      <c r="B59" s="3" t="s">
        <v>213</v>
      </c>
      <c r="C59" s="23" t="s">
        <v>90</v>
      </c>
      <c r="D59" s="24"/>
      <c r="E59" s="24" t="s">
        <v>316</v>
      </c>
      <c r="F59" s="35">
        <v>44222</v>
      </c>
      <c r="G59" s="36" t="str">
        <f t="shared" ca="1" si="2"/>
        <v>5 THN 7 BLN</v>
      </c>
      <c r="H59" s="35">
        <v>36595</v>
      </c>
      <c r="I59" s="36" t="str">
        <f t="shared" ca="1" si="3"/>
        <v>26 THN 5 BLN</v>
      </c>
      <c r="J59" s="64" t="s">
        <v>377</v>
      </c>
      <c r="K59" s="59" t="s">
        <v>317</v>
      </c>
      <c r="L59" s="40" t="s">
        <v>317</v>
      </c>
      <c r="M59" s="23" t="s">
        <v>309</v>
      </c>
      <c r="N59" s="36" t="s">
        <v>312</v>
      </c>
    </row>
    <row r="60" spans="1:14" x14ac:dyDescent="0.35">
      <c r="A60" s="2">
        <v>401</v>
      </c>
      <c r="B60" s="58" t="s">
        <v>214</v>
      </c>
      <c r="C60" s="23" t="s">
        <v>34</v>
      </c>
      <c r="D60" s="24" t="s">
        <v>210</v>
      </c>
      <c r="E60" s="24" t="s">
        <v>316</v>
      </c>
      <c r="F60" s="35">
        <v>44261</v>
      </c>
      <c r="G60" s="36" t="str">
        <f t="shared" ca="1" si="2"/>
        <v>5 THN 5 BLN</v>
      </c>
      <c r="H60" s="35">
        <v>36597</v>
      </c>
      <c r="I60" s="36" t="str">
        <f t="shared" ca="1" si="3"/>
        <v>26 THN 5 BLN</v>
      </c>
      <c r="J60" s="64" t="s">
        <v>377</v>
      </c>
      <c r="K60" s="59" t="s">
        <v>317</v>
      </c>
      <c r="L60" s="40" t="s">
        <v>317</v>
      </c>
      <c r="M60" s="23" t="s">
        <v>319</v>
      </c>
      <c r="N60" s="36"/>
    </row>
    <row r="61" spans="1:14" x14ac:dyDescent="0.35">
      <c r="A61" s="2">
        <v>406</v>
      </c>
      <c r="B61" s="3" t="s">
        <v>215</v>
      </c>
      <c r="C61" s="23" t="s">
        <v>6</v>
      </c>
      <c r="D61" s="24"/>
      <c r="E61" s="24" t="s">
        <v>316</v>
      </c>
      <c r="F61" s="35">
        <v>44270</v>
      </c>
      <c r="G61" s="36" t="str">
        <f t="shared" ca="1" si="2"/>
        <v>5 THN 5 BLN</v>
      </c>
      <c r="H61" s="35">
        <v>36094</v>
      </c>
      <c r="I61" s="36" t="str">
        <f t="shared" ca="1" si="3"/>
        <v>27 THN 10 BLN</v>
      </c>
      <c r="J61" s="64" t="s">
        <v>377</v>
      </c>
      <c r="K61" s="59" t="s">
        <v>317</v>
      </c>
      <c r="L61" s="40" t="s">
        <v>317</v>
      </c>
      <c r="M61" s="23" t="s">
        <v>308</v>
      </c>
      <c r="N61" s="36" t="s">
        <v>6</v>
      </c>
    </row>
    <row r="62" spans="1:14" x14ac:dyDescent="0.35">
      <c r="A62" s="2">
        <v>408</v>
      </c>
      <c r="B62" s="3" t="s">
        <v>216</v>
      </c>
      <c r="C62" s="23" t="s">
        <v>34</v>
      </c>
      <c r="D62" s="24" t="s">
        <v>200</v>
      </c>
      <c r="E62" s="24" t="s">
        <v>316</v>
      </c>
      <c r="F62" s="35">
        <v>44289</v>
      </c>
      <c r="G62" s="36" t="str">
        <f t="shared" ca="1" si="2"/>
        <v>5 THN 4 BLN</v>
      </c>
      <c r="H62" s="35">
        <v>37022</v>
      </c>
      <c r="I62" s="36" t="str">
        <f t="shared" ca="1" si="3"/>
        <v>25 THN 3 BLN</v>
      </c>
      <c r="J62" s="64" t="s">
        <v>377</v>
      </c>
      <c r="K62" s="59" t="s">
        <v>317</v>
      </c>
      <c r="L62" s="40" t="s">
        <v>317</v>
      </c>
      <c r="M62" s="23" t="s">
        <v>309</v>
      </c>
      <c r="N62" s="36" t="s">
        <v>312</v>
      </c>
    </row>
    <row r="63" spans="1:14" x14ac:dyDescent="0.35">
      <c r="A63" s="2">
        <v>419</v>
      </c>
      <c r="B63" s="3" t="s">
        <v>217</v>
      </c>
      <c r="C63" s="23" t="s">
        <v>34</v>
      </c>
      <c r="D63" s="24" t="s">
        <v>198</v>
      </c>
      <c r="E63" s="24" t="s">
        <v>316</v>
      </c>
      <c r="F63" s="35">
        <v>44368</v>
      </c>
      <c r="G63" s="36" t="str">
        <f t="shared" ca="1" si="2"/>
        <v>5 THN 2 BLN</v>
      </c>
      <c r="H63" s="35">
        <v>35871</v>
      </c>
      <c r="I63" s="36" t="str">
        <f t="shared" ca="1" si="3"/>
        <v>28 THN 5 BLN</v>
      </c>
      <c r="J63" s="64" t="s">
        <v>378</v>
      </c>
      <c r="K63" s="59" t="s">
        <v>317</v>
      </c>
      <c r="L63" s="40" t="s">
        <v>317</v>
      </c>
      <c r="M63" s="23" t="s">
        <v>313</v>
      </c>
      <c r="N63" s="36"/>
    </row>
    <row r="64" spans="1:14" x14ac:dyDescent="0.35">
      <c r="A64" s="2">
        <v>420</v>
      </c>
      <c r="B64" s="3" t="s">
        <v>218</v>
      </c>
      <c r="C64" s="23" t="s">
        <v>207</v>
      </c>
      <c r="D64" s="24"/>
      <c r="E64" s="24" t="s">
        <v>316</v>
      </c>
      <c r="F64" s="35">
        <v>44369</v>
      </c>
      <c r="G64" s="36" t="str">
        <f t="shared" ca="1" si="2"/>
        <v>5 THN 2 BLN</v>
      </c>
      <c r="H64" s="35">
        <v>35894</v>
      </c>
      <c r="I64" s="36" t="str">
        <f t="shared" ca="1" si="3"/>
        <v>28 THN 4 BLN</v>
      </c>
      <c r="J64" s="64" t="s">
        <v>377</v>
      </c>
      <c r="K64" s="59" t="s">
        <v>317</v>
      </c>
      <c r="L64" s="40" t="s">
        <v>317</v>
      </c>
      <c r="M64" s="23" t="s">
        <v>309</v>
      </c>
      <c r="N64" s="36" t="s">
        <v>312</v>
      </c>
    </row>
    <row r="65" spans="1:16" x14ac:dyDescent="0.35">
      <c r="A65" s="2">
        <v>421</v>
      </c>
      <c r="B65" s="3" t="s">
        <v>219</v>
      </c>
      <c r="C65" s="23" t="s">
        <v>16</v>
      </c>
      <c r="D65" s="24"/>
      <c r="E65" s="24" t="s">
        <v>316</v>
      </c>
      <c r="F65" s="35">
        <v>44392</v>
      </c>
      <c r="G65" s="36" t="str">
        <f t="shared" ca="1" si="2"/>
        <v>5 THN 1 BLN</v>
      </c>
      <c r="H65" s="35">
        <v>35338</v>
      </c>
      <c r="I65" s="36" t="str">
        <f t="shared" ca="1" si="3"/>
        <v>29 THN 10 BLN</v>
      </c>
      <c r="J65" s="64" t="s">
        <v>377</v>
      </c>
      <c r="K65" s="59" t="s">
        <v>317</v>
      </c>
      <c r="L65" s="40" t="s">
        <v>317</v>
      </c>
      <c r="M65" s="23" t="s">
        <v>309</v>
      </c>
      <c r="N65" s="36" t="s">
        <v>311</v>
      </c>
    </row>
    <row r="66" spans="1:16" x14ac:dyDescent="0.35">
      <c r="A66" s="2">
        <v>425</v>
      </c>
      <c r="B66" s="3" t="s">
        <v>220</v>
      </c>
      <c r="C66" s="23" t="s">
        <v>88</v>
      </c>
      <c r="D66" s="24"/>
      <c r="E66" s="24" t="s">
        <v>316</v>
      </c>
      <c r="F66" s="39" t="s">
        <v>320</v>
      </c>
      <c r="G66" s="36" t="str">
        <f t="shared" ca="1" si="2"/>
        <v>5 THN 1 BLN</v>
      </c>
      <c r="H66" s="35">
        <v>32559</v>
      </c>
      <c r="I66" s="36" t="str">
        <f t="shared" ca="1" si="3"/>
        <v>37 THN 6 BLN</v>
      </c>
      <c r="J66" s="64" t="s">
        <v>378</v>
      </c>
      <c r="K66" s="59" t="s">
        <v>317</v>
      </c>
      <c r="L66" s="40" t="s">
        <v>317</v>
      </c>
      <c r="M66" s="23" t="s">
        <v>313</v>
      </c>
      <c r="N66" s="51"/>
    </row>
    <row r="67" spans="1:16" x14ac:dyDescent="0.35">
      <c r="A67" s="2">
        <v>426</v>
      </c>
      <c r="B67" s="3" t="s">
        <v>221</v>
      </c>
      <c r="C67" s="23" t="s">
        <v>34</v>
      </c>
      <c r="D67" s="24" t="s">
        <v>194</v>
      </c>
      <c r="E67" s="24" t="s">
        <v>316</v>
      </c>
      <c r="F67" s="39" t="s">
        <v>321</v>
      </c>
      <c r="G67" s="36" t="str">
        <f t="shared" ref="G67:G98" ca="1" si="4">DATEDIF(F67,TODAY(),"Y")&amp; " THN "&amp;DATEDIF(F67,TODAY(),"YM")&amp;" BLN"</f>
        <v>5 THN 0 BLN</v>
      </c>
      <c r="H67" s="35">
        <v>35140</v>
      </c>
      <c r="I67" s="36" t="str">
        <f t="shared" ref="I67:I98" ca="1" si="5">DATEDIF(H67,TODAY(),"Y")&amp; " THN "&amp;DATEDIF(H67,TODAY(),"YM")&amp;" BLN"</f>
        <v>30 THN 5 BLN</v>
      </c>
      <c r="J67" s="64" t="s">
        <v>378</v>
      </c>
      <c r="K67" s="59" t="s">
        <v>317</v>
      </c>
      <c r="L67" s="40" t="s">
        <v>317</v>
      </c>
      <c r="M67" s="23" t="s">
        <v>313</v>
      </c>
      <c r="N67" s="51"/>
    </row>
    <row r="68" spans="1:16" x14ac:dyDescent="0.35">
      <c r="A68" s="2">
        <v>428</v>
      </c>
      <c r="B68" s="3" t="s">
        <v>222</v>
      </c>
      <c r="C68" s="23" t="s">
        <v>34</v>
      </c>
      <c r="D68" s="24" t="s">
        <v>223</v>
      </c>
      <c r="E68" s="24" t="s">
        <v>316</v>
      </c>
      <c r="F68" s="39" t="s">
        <v>321</v>
      </c>
      <c r="G68" s="36" t="str">
        <f t="shared" ca="1" si="4"/>
        <v>5 THN 0 BLN</v>
      </c>
      <c r="H68" s="35">
        <v>30333</v>
      </c>
      <c r="I68" s="36" t="str">
        <f t="shared" ca="1" si="5"/>
        <v>43 THN 7 BLN</v>
      </c>
      <c r="J68" s="64" t="s">
        <v>378</v>
      </c>
      <c r="K68" s="59" t="s">
        <v>317</v>
      </c>
      <c r="L68" s="40" t="s">
        <v>317</v>
      </c>
      <c r="M68" s="23" t="s">
        <v>313</v>
      </c>
      <c r="N68" s="51"/>
    </row>
    <row r="69" spans="1:16" x14ac:dyDescent="0.35">
      <c r="A69" s="2">
        <v>430</v>
      </c>
      <c r="B69" s="3" t="s">
        <v>224</v>
      </c>
      <c r="C69" s="23" t="s">
        <v>88</v>
      </c>
      <c r="D69" s="24"/>
      <c r="E69" s="24" t="s">
        <v>316</v>
      </c>
      <c r="F69" s="35">
        <v>44434</v>
      </c>
      <c r="G69" s="36" t="str">
        <f t="shared" ca="1" si="4"/>
        <v>5 THN 0 BLN</v>
      </c>
      <c r="H69" s="35">
        <v>36159</v>
      </c>
      <c r="I69" s="36" t="str">
        <f t="shared" ca="1" si="5"/>
        <v>27 THN 7 BLN</v>
      </c>
      <c r="J69" s="64" t="s">
        <v>378</v>
      </c>
      <c r="K69" s="59" t="s">
        <v>317</v>
      </c>
      <c r="L69" s="40" t="s">
        <v>317</v>
      </c>
      <c r="M69" s="23" t="s">
        <v>313</v>
      </c>
      <c r="N69" s="51"/>
    </row>
    <row r="70" spans="1:16" x14ac:dyDescent="0.35">
      <c r="A70" s="2">
        <v>434</v>
      </c>
      <c r="B70" s="3" t="s">
        <v>225</v>
      </c>
      <c r="C70" s="23" t="s">
        <v>90</v>
      </c>
      <c r="D70" s="24"/>
      <c r="E70" s="24" t="s">
        <v>316</v>
      </c>
      <c r="F70" s="39" t="s">
        <v>322</v>
      </c>
      <c r="G70" s="36" t="str">
        <f t="shared" ca="1" si="4"/>
        <v>4 THN 11 BLN</v>
      </c>
      <c r="H70" s="35">
        <v>36542</v>
      </c>
      <c r="I70" s="36" t="str">
        <f t="shared" ca="1" si="5"/>
        <v>26 THN 7 BLN</v>
      </c>
      <c r="J70" s="64" t="s">
        <v>377</v>
      </c>
      <c r="K70" s="59" t="s">
        <v>317</v>
      </c>
      <c r="L70" s="40" t="s">
        <v>317</v>
      </c>
      <c r="M70" s="23" t="s">
        <v>309</v>
      </c>
      <c r="N70" s="36" t="s">
        <v>312</v>
      </c>
    </row>
    <row r="71" spans="1:16" x14ac:dyDescent="0.35">
      <c r="A71" s="2">
        <v>448</v>
      </c>
      <c r="B71" s="3" t="s">
        <v>226</v>
      </c>
      <c r="C71" s="23" t="s">
        <v>192</v>
      </c>
      <c r="D71" s="24"/>
      <c r="E71" s="24" t="s">
        <v>316</v>
      </c>
      <c r="F71" s="39" t="s">
        <v>323</v>
      </c>
      <c r="G71" s="36" t="str">
        <f t="shared" ca="1" si="4"/>
        <v>4 THN 10 BLN</v>
      </c>
      <c r="H71" s="35">
        <v>37472</v>
      </c>
      <c r="I71" s="36" t="str">
        <f t="shared" ca="1" si="5"/>
        <v>24 THN 0 BLN</v>
      </c>
      <c r="J71" s="64" t="s">
        <v>377</v>
      </c>
      <c r="K71" s="59" t="s">
        <v>317</v>
      </c>
      <c r="L71" s="40" t="s">
        <v>317</v>
      </c>
      <c r="M71" s="23" t="s">
        <v>313</v>
      </c>
      <c r="N71" s="36"/>
    </row>
    <row r="72" spans="1:16" hidden="1" x14ac:dyDescent="0.35">
      <c r="A72" s="2">
        <v>457</v>
      </c>
      <c r="B72" s="3" t="s">
        <v>227</v>
      </c>
      <c r="C72" s="23" t="s">
        <v>6</v>
      </c>
      <c r="D72" s="24" t="s">
        <v>192</v>
      </c>
      <c r="E72" s="24" t="s">
        <v>291</v>
      </c>
      <c r="F72" s="35">
        <v>44543</v>
      </c>
      <c r="G72" s="36" t="str">
        <f t="shared" ca="1" si="4"/>
        <v>4 THN 8 BLN</v>
      </c>
      <c r="H72" s="35">
        <v>34717</v>
      </c>
      <c r="I72" s="36" t="str">
        <f t="shared" ca="1" si="5"/>
        <v>31 THN 7 BLN</v>
      </c>
      <c r="J72" s="64" t="s">
        <v>377</v>
      </c>
      <c r="K72" s="59" t="s">
        <v>317</v>
      </c>
      <c r="L72" s="40" t="s">
        <v>317</v>
      </c>
      <c r="M72" s="23" t="s">
        <v>308</v>
      </c>
      <c r="N72" s="36" t="s">
        <v>6</v>
      </c>
      <c r="O72" s="1" t="s">
        <v>380</v>
      </c>
      <c r="P72" s="1" t="s">
        <v>382</v>
      </c>
    </row>
    <row r="73" spans="1:16" x14ac:dyDescent="0.35">
      <c r="A73" s="2">
        <v>479</v>
      </c>
      <c r="B73" s="3" t="s">
        <v>231</v>
      </c>
      <c r="C73" s="23" t="s">
        <v>6</v>
      </c>
      <c r="D73" s="28"/>
      <c r="E73" s="24" t="s">
        <v>316</v>
      </c>
      <c r="F73" s="38">
        <v>44719</v>
      </c>
      <c r="G73" s="36" t="str">
        <f t="shared" ca="1" si="4"/>
        <v>4 THN 2 BLN</v>
      </c>
      <c r="H73" s="35">
        <v>31872</v>
      </c>
      <c r="I73" s="36" t="str">
        <f t="shared" ca="1" si="5"/>
        <v>39 THN 4 BLN</v>
      </c>
      <c r="J73" s="64" t="s">
        <v>378</v>
      </c>
      <c r="K73" s="59" t="s">
        <v>317</v>
      </c>
      <c r="L73" s="40" t="s">
        <v>317</v>
      </c>
      <c r="M73" s="23" t="s">
        <v>308</v>
      </c>
      <c r="N73" s="36" t="s">
        <v>6</v>
      </c>
    </row>
    <row r="74" spans="1:16" x14ac:dyDescent="0.35">
      <c r="A74" s="2">
        <v>485</v>
      </c>
      <c r="B74" s="3" t="s">
        <v>232</v>
      </c>
      <c r="C74" s="23" t="s">
        <v>192</v>
      </c>
      <c r="D74" s="24"/>
      <c r="E74" s="24" t="s">
        <v>316</v>
      </c>
      <c r="F74" s="39" t="s">
        <v>324</v>
      </c>
      <c r="G74" s="36" t="str">
        <f t="shared" ca="1" si="4"/>
        <v>4 THN 1 BLN</v>
      </c>
      <c r="H74" s="35">
        <v>37358</v>
      </c>
      <c r="I74" s="36" t="str">
        <f t="shared" ca="1" si="5"/>
        <v>24 THN 4 BLN</v>
      </c>
      <c r="J74" s="64" t="s">
        <v>377</v>
      </c>
      <c r="K74" s="59" t="s">
        <v>317</v>
      </c>
      <c r="L74" s="40" t="s">
        <v>317</v>
      </c>
      <c r="M74" s="23" t="s">
        <v>313</v>
      </c>
      <c r="N74" s="36"/>
    </row>
    <row r="75" spans="1:16" x14ac:dyDescent="0.35">
      <c r="A75" s="2">
        <v>487</v>
      </c>
      <c r="B75" s="3" t="s">
        <v>233</v>
      </c>
      <c r="C75" s="23" t="s">
        <v>88</v>
      </c>
      <c r="D75" s="24"/>
      <c r="E75" s="24" t="s">
        <v>316</v>
      </c>
      <c r="F75" s="39" t="s">
        <v>325</v>
      </c>
      <c r="G75" s="36" t="str">
        <f t="shared" ca="1" si="4"/>
        <v>4 THN 1 BLN</v>
      </c>
      <c r="H75" s="35">
        <v>37795</v>
      </c>
      <c r="I75" s="36" t="str">
        <f t="shared" ca="1" si="5"/>
        <v>23 THN 2 BLN</v>
      </c>
      <c r="J75" s="64" t="s">
        <v>378</v>
      </c>
      <c r="K75" s="59" t="s">
        <v>317</v>
      </c>
      <c r="L75" s="40" t="s">
        <v>317</v>
      </c>
      <c r="M75" s="23" t="s">
        <v>313</v>
      </c>
      <c r="N75" s="36"/>
    </row>
    <row r="76" spans="1:16" x14ac:dyDescent="0.35">
      <c r="A76" s="2">
        <v>488</v>
      </c>
      <c r="B76" s="3" t="s">
        <v>234</v>
      </c>
      <c r="C76" s="23" t="s">
        <v>25</v>
      </c>
      <c r="D76" s="24"/>
      <c r="E76" s="24" t="s">
        <v>316</v>
      </c>
      <c r="F76" s="35">
        <v>44760</v>
      </c>
      <c r="G76" s="36" t="str">
        <f t="shared" ca="1" si="4"/>
        <v>4 THN 1 BLN</v>
      </c>
      <c r="H76" s="35">
        <v>38159</v>
      </c>
      <c r="I76" s="36" t="str">
        <f t="shared" ca="1" si="5"/>
        <v>22 THN 2 BLN</v>
      </c>
      <c r="J76" s="64" t="s">
        <v>377</v>
      </c>
      <c r="K76" s="59" t="s">
        <v>317</v>
      </c>
      <c r="L76" s="40" t="s">
        <v>317</v>
      </c>
      <c r="M76" s="23" t="s">
        <v>309</v>
      </c>
      <c r="N76" s="36" t="s">
        <v>312</v>
      </c>
    </row>
    <row r="77" spans="1:16" x14ac:dyDescent="0.35">
      <c r="A77" s="2">
        <v>493</v>
      </c>
      <c r="B77" s="3" t="s">
        <v>235</v>
      </c>
      <c r="C77" s="23" t="s">
        <v>33</v>
      </c>
      <c r="D77" s="24"/>
      <c r="E77" s="24" t="s">
        <v>316</v>
      </c>
      <c r="F77" s="35">
        <v>44816</v>
      </c>
      <c r="G77" s="36" t="str">
        <f t="shared" ca="1" si="4"/>
        <v>3 THN 11 BLN</v>
      </c>
      <c r="H77" s="35">
        <v>38081</v>
      </c>
      <c r="I77" s="36" t="str">
        <f t="shared" ca="1" si="5"/>
        <v>22 THN 4 BLN</v>
      </c>
      <c r="J77" s="64" t="s">
        <v>377</v>
      </c>
      <c r="K77" s="60">
        <v>46142</v>
      </c>
      <c r="L77" s="40" t="s">
        <v>317</v>
      </c>
      <c r="M77" s="23" t="s">
        <v>309</v>
      </c>
      <c r="N77" s="36" t="s">
        <v>312</v>
      </c>
    </row>
    <row r="78" spans="1:16" x14ac:dyDescent="0.35">
      <c r="A78" s="2">
        <v>498</v>
      </c>
      <c r="B78" s="3" t="s">
        <v>236</v>
      </c>
      <c r="C78" s="23" t="s">
        <v>6</v>
      </c>
      <c r="D78" s="24" t="s">
        <v>192</v>
      </c>
      <c r="E78" s="24" t="s">
        <v>316</v>
      </c>
      <c r="F78" s="35">
        <v>44848</v>
      </c>
      <c r="G78" s="36" t="str">
        <f t="shared" ca="1" si="4"/>
        <v>3 THN 10 BLN</v>
      </c>
      <c r="H78" s="35">
        <v>32841</v>
      </c>
      <c r="I78" s="36" t="str">
        <f t="shared" ca="1" si="5"/>
        <v>36 THN 9 BLN</v>
      </c>
      <c r="J78" s="64" t="s">
        <v>378</v>
      </c>
      <c r="K78" s="59" t="s">
        <v>317</v>
      </c>
      <c r="L78" s="40" t="s">
        <v>317</v>
      </c>
      <c r="M78" s="23" t="s">
        <v>308</v>
      </c>
      <c r="N78" s="36" t="s">
        <v>6</v>
      </c>
    </row>
    <row r="79" spans="1:16" x14ac:dyDescent="0.35">
      <c r="A79" s="2">
        <v>499</v>
      </c>
      <c r="B79" s="3" t="s">
        <v>237</v>
      </c>
      <c r="C79" s="23" t="s">
        <v>69</v>
      </c>
      <c r="D79" s="24"/>
      <c r="E79" s="24" t="s">
        <v>316</v>
      </c>
      <c r="F79" s="35">
        <v>44862</v>
      </c>
      <c r="G79" s="36" t="str">
        <f t="shared" ca="1" si="4"/>
        <v>3 THN 10 BLN</v>
      </c>
      <c r="H79" s="35">
        <v>37002</v>
      </c>
      <c r="I79" s="36" t="str">
        <f t="shared" ca="1" si="5"/>
        <v>25 THN 4 BLN</v>
      </c>
      <c r="J79" s="64" t="s">
        <v>377</v>
      </c>
      <c r="K79" s="59" t="s">
        <v>317</v>
      </c>
      <c r="L79" s="40" t="s">
        <v>317</v>
      </c>
      <c r="M79" s="23" t="s">
        <v>309</v>
      </c>
      <c r="N79" s="36" t="s">
        <v>311</v>
      </c>
    </row>
    <row r="80" spans="1:16" x14ac:dyDescent="0.35">
      <c r="A80" s="2">
        <v>500</v>
      </c>
      <c r="B80" s="3" t="s">
        <v>238</v>
      </c>
      <c r="C80" s="23" t="s">
        <v>6</v>
      </c>
      <c r="D80" s="24" t="s">
        <v>192</v>
      </c>
      <c r="E80" s="24" t="s">
        <v>316</v>
      </c>
      <c r="F80" s="35">
        <v>44872</v>
      </c>
      <c r="G80" s="36" t="str">
        <f t="shared" ca="1" si="4"/>
        <v>3 THN 9 BLN</v>
      </c>
      <c r="H80" s="35">
        <v>34406</v>
      </c>
      <c r="I80" s="36" t="str">
        <f t="shared" ca="1" si="5"/>
        <v>32 THN 5 BLN</v>
      </c>
      <c r="J80" s="64" t="s">
        <v>377</v>
      </c>
      <c r="K80" s="59" t="s">
        <v>317</v>
      </c>
      <c r="L80" s="40" t="s">
        <v>317</v>
      </c>
      <c r="M80" s="23" t="s">
        <v>313</v>
      </c>
      <c r="N80" s="36"/>
    </row>
    <row r="81" spans="1:16" x14ac:dyDescent="0.35">
      <c r="A81" s="2">
        <v>508</v>
      </c>
      <c r="B81" s="3" t="s">
        <v>239</v>
      </c>
      <c r="C81" s="23" t="s">
        <v>192</v>
      </c>
      <c r="D81" s="24"/>
      <c r="E81" s="24" t="s">
        <v>316</v>
      </c>
      <c r="F81" s="39" t="s">
        <v>326</v>
      </c>
      <c r="G81" s="36" t="str">
        <f t="shared" ca="1" si="4"/>
        <v>3 THN 8 BLN</v>
      </c>
      <c r="H81" s="35">
        <v>38255</v>
      </c>
      <c r="I81" s="36" t="str">
        <f t="shared" ca="1" si="5"/>
        <v>21 THN 11 BLN</v>
      </c>
      <c r="J81" s="64" t="s">
        <v>377</v>
      </c>
      <c r="K81" s="59" t="s">
        <v>317</v>
      </c>
      <c r="L81" s="40" t="s">
        <v>317</v>
      </c>
      <c r="M81" s="23" t="s">
        <v>313</v>
      </c>
      <c r="N81" s="36"/>
    </row>
    <row r="82" spans="1:16" x14ac:dyDescent="0.35">
      <c r="A82" s="2">
        <v>510</v>
      </c>
      <c r="B82" s="3" t="s">
        <v>240</v>
      </c>
      <c r="C82" s="23" t="s">
        <v>6</v>
      </c>
      <c r="D82" s="24" t="s">
        <v>192</v>
      </c>
      <c r="E82" s="24" t="s">
        <v>316</v>
      </c>
      <c r="F82" s="35">
        <v>44942</v>
      </c>
      <c r="G82" s="36" t="str">
        <f t="shared" ca="1" si="4"/>
        <v>3 THN 7 BLN</v>
      </c>
      <c r="H82" s="35">
        <v>33332</v>
      </c>
      <c r="I82" s="36" t="str">
        <f t="shared" ca="1" si="5"/>
        <v>35 THN 4 BLN</v>
      </c>
      <c r="J82" s="64" t="s">
        <v>378</v>
      </c>
      <c r="K82" s="59" t="s">
        <v>317</v>
      </c>
      <c r="L82" s="40" t="s">
        <v>317</v>
      </c>
      <c r="M82" s="23" t="s">
        <v>313</v>
      </c>
      <c r="N82" s="36"/>
    </row>
    <row r="83" spans="1:16" x14ac:dyDescent="0.35">
      <c r="A83" s="2">
        <v>514</v>
      </c>
      <c r="B83" s="3" t="s">
        <v>242</v>
      </c>
      <c r="C83" s="23" t="s">
        <v>34</v>
      </c>
      <c r="D83" s="24" t="s">
        <v>223</v>
      </c>
      <c r="E83" s="24" t="s">
        <v>316</v>
      </c>
      <c r="F83" s="39" t="s">
        <v>327</v>
      </c>
      <c r="G83" s="36" t="str">
        <f t="shared" ca="1" si="4"/>
        <v>3 THN 3 BLN</v>
      </c>
      <c r="H83" s="35">
        <v>38144</v>
      </c>
      <c r="I83" s="36" t="str">
        <f t="shared" ca="1" si="5"/>
        <v>22 THN 2 BLN</v>
      </c>
      <c r="J83" s="64" t="s">
        <v>378</v>
      </c>
      <c r="K83" s="59" t="s">
        <v>317</v>
      </c>
      <c r="L83" s="40" t="s">
        <v>317</v>
      </c>
      <c r="M83" s="23" t="s">
        <v>313</v>
      </c>
      <c r="N83" s="36"/>
    </row>
    <row r="84" spans="1:16" hidden="1" x14ac:dyDescent="0.35">
      <c r="A84" s="2">
        <v>517</v>
      </c>
      <c r="B84" s="3" t="s">
        <v>243</v>
      </c>
      <c r="C84" s="23" t="s">
        <v>69</v>
      </c>
      <c r="D84" s="24"/>
      <c r="E84" s="24" t="s">
        <v>291</v>
      </c>
      <c r="F84" s="35">
        <v>45075</v>
      </c>
      <c r="G84" s="36" t="str">
        <f t="shared" ca="1" si="4"/>
        <v>3 THN 3 BLN</v>
      </c>
      <c r="H84" s="35">
        <v>36871</v>
      </c>
      <c r="I84" s="36" t="str">
        <f t="shared" ca="1" si="5"/>
        <v>25 THN 8 BLN</v>
      </c>
      <c r="J84" s="64" t="s">
        <v>377</v>
      </c>
      <c r="K84" s="59" t="s">
        <v>317</v>
      </c>
      <c r="L84" s="40" t="s">
        <v>317</v>
      </c>
      <c r="M84" s="23" t="s">
        <v>309</v>
      </c>
      <c r="N84" s="36" t="s">
        <v>311</v>
      </c>
      <c r="O84" s="7">
        <v>46120</v>
      </c>
      <c r="P84" s="1" t="s">
        <v>384</v>
      </c>
    </row>
    <row r="85" spans="1:16" x14ac:dyDescent="0.35">
      <c r="A85" s="2">
        <v>531</v>
      </c>
      <c r="B85" s="3" t="s">
        <v>244</v>
      </c>
      <c r="C85" s="23" t="s">
        <v>192</v>
      </c>
      <c r="D85" s="24"/>
      <c r="E85" s="24" t="s">
        <v>316</v>
      </c>
      <c r="F85" s="39" t="s">
        <v>328</v>
      </c>
      <c r="G85" s="36" t="str">
        <f t="shared" ca="1" si="4"/>
        <v>3 THN 2 BLN</v>
      </c>
      <c r="H85" s="35">
        <v>37918</v>
      </c>
      <c r="I85" s="36" t="str">
        <f t="shared" ca="1" si="5"/>
        <v>22 THN 10 BLN</v>
      </c>
      <c r="J85" s="64" t="s">
        <v>377</v>
      </c>
      <c r="K85" s="59" t="s">
        <v>317</v>
      </c>
      <c r="L85" s="40" t="s">
        <v>317</v>
      </c>
      <c r="M85" s="23" t="s">
        <v>313</v>
      </c>
      <c r="N85" s="36"/>
    </row>
    <row r="86" spans="1:16" x14ac:dyDescent="0.35">
      <c r="A86" s="2">
        <v>534</v>
      </c>
      <c r="B86" s="3" t="s">
        <v>245</v>
      </c>
      <c r="C86" s="23" t="s">
        <v>34</v>
      </c>
      <c r="D86" s="24" t="s">
        <v>203</v>
      </c>
      <c r="E86" s="24" t="s">
        <v>316</v>
      </c>
      <c r="F86" s="39" t="s">
        <v>329</v>
      </c>
      <c r="G86" s="36" t="str">
        <f t="shared" ca="1" si="4"/>
        <v>3 THN 1 BLN</v>
      </c>
      <c r="H86" s="35">
        <v>38453</v>
      </c>
      <c r="I86" s="36" t="str">
        <f t="shared" ca="1" si="5"/>
        <v>21 THN 4 BLN</v>
      </c>
      <c r="J86" s="64" t="s">
        <v>377</v>
      </c>
      <c r="K86" s="59" t="s">
        <v>317</v>
      </c>
      <c r="L86" s="40" t="s">
        <v>317</v>
      </c>
      <c r="M86" s="23" t="s">
        <v>313</v>
      </c>
      <c r="N86" s="36"/>
    </row>
    <row r="87" spans="1:16" hidden="1" x14ac:dyDescent="0.35">
      <c r="A87" s="2">
        <v>549</v>
      </c>
      <c r="B87" s="3" t="s">
        <v>246</v>
      </c>
      <c r="C87" s="23" t="s">
        <v>88</v>
      </c>
      <c r="D87" s="24"/>
      <c r="E87" s="24" t="s">
        <v>291</v>
      </c>
      <c r="F87" s="39" t="s">
        <v>330</v>
      </c>
      <c r="G87" s="36" t="str">
        <f t="shared" ca="1" si="4"/>
        <v>2 THN 8 BLN</v>
      </c>
      <c r="H87" s="35">
        <v>37295</v>
      </c>
      <c r="I87" s="36" t="str">
        <f t="shared" ca="1" si="5"/>
        <v>24 THN 6 BLN</v>
      </c>
      <c r="J87" s="64" t="s">
        <v>378</v>
      </c>
      <c r="K87" s="59" t="s">
        <v>317</v>
      </c>
      <c r="L87" s="40" t="s">
        <v>317</v>
      </c>
      <c r="M87" s="23" t="s">
        <v>313</v>
      </c>
      <c r="N87" s="36"/>
      <c r="O87" s="1" t="s">
        <v>380</v>
      </c>
      <c r="P87" s="1" t="s">
        <v>381</v>
      </c>
    </row>
    <row r="88" spans="1:16" x14ac:dyDescent="0.35">
      <c r="A88" s="2">
        <v>551</v>
      </c>
      <c r="B88" s="3" t="s">
        <v>247</v>
      </c>
      <c r="C88" s="23" t="s">
        <v>192</v>
      </c>
      <c r="D88" s="24"/>
      <c r="E88" s="24" t="s">
        <v>316</v>
      </c>
      <c r="F88" s="39" t="s">
        <v>331</v>
      </c>
      <c r="G88" s="36" t="str">
        <f t="shared" ca="1" si="4"/>
        <v>2 THN 7 BLN</v>
      </c>
      <c r="H88" s="35">
        <v>37338</v>
      </c>
      <c r="I88" s="36" t="str">
        <f t="shared" ca="1" si="5"/>
        <v>24 THN 5 BLN</v>
      </c>
      <c r="J88" s="64" t="s">
        <v>377</v>
      </c>
      <c r="K88" s="59" t="s">
        <v>317</v>
      </c>
      <c r="L88" s="40" t="s">
        <v>317</v>
      </c>
      <c r="M88" s="23" t="s">
        <v>313</v>
      </c>
      <c r="N88" s="36"/>
    </row>
    <row r="89" spans="1:16" x14ac:dyDescent="0.35">
      <c r="A89" s="2">
        <v>553</v>
      </c>
      <c r="B89" s="3" t="s">
        <v>248</v>
      </c>
      <c r="C89" s="23" t="s">
        <v>34</v>
      </c>
      <c r="D89" s="24" t="s">
        <v>204</v>
      </c>
      <c r="E89" s="24" t="s">
        <v>316</v>
      </c>
      <c r="F89" s="39" t="s">
        <v>332</v>
      </c>
      <c r="G89" s="36" t="str">
        <f t="shared" ca="1" si="4"/>
        <v>2 THN 6 BLN</v>
      </c>
      <c r="H89" s="35">
        <v>37565</v>
      </c>
      <c r="I89" s="36" t="str">
        <f t="shared" ca="1" si="5"/>
        <v>23 THN 9 BLN</v>
      </c>
      <c r="J89" s="64" t="s">
        <v>377</v>
      </c>
      <c r="K89" s="59" t="s">
        <v>317</v>
      </c>
      <c r="L89" s="40" t="s">
        <v>317</v>
      </c>
      <c r="M89" s="23" t="s">
        <v>309</v>
      </c>
      <c r="N89" s="36" t="s">
        <v>312</v>
      </c>
    </row>
    <row r="90" spans="1:16" x14ac:dyDescent="0.35">
      <c r="A90" s="2">
        <v>558</v>
      </c>
      <c r="B90" s="3" t="s">
        <v>249</v>
      </c>
      <c r="C90" s="23" t="s">
        <v>33</v>
      </c>
      <c r="D90" s="24"/>
      <c r="E90" s="24" t="s">
        <v>316</v>
      </c>
      <c r="F90" s="39" t="s">
        <v>333</v>
      </c>
      <c r="G90" s="36" t="str">
        <f t="shared" ca="1" si="4"/>
        <v>2 THN 5 BLN</v>
      </c>
      <c r="H90" s="35">
        <v>33832</v>
      </c>
      <c r="I90" s="36" t="str">
        <f t="shared" ca="1" si="5"/>
        <v>34 THN 0 BLN</v>
      </c>
      <c r="J90" s="64" t="s">
        <v>377</v>
      </c>
      <c r="K90" s="59" t="s">
        <v>317</v>
      </c>
      <c r="L90" s="40" t="s">
        <v>317</v>
      </c>
      <c r="M90" s="23" t="s">
        <v>309</v>
      </c>
      <c r="N90" s="36" t="s">
        <v>312</v>
      </c>
    </row>
    <row r="91" spans="1:16" hidden="1" x14ac:dyDescent="0.35">
      <c r="A91" s="2">
        <v>561</v>
      </c>
      <c r="B91" s="3" t="s">
        <v>250</v>
      </c>
      <c r="C91" s="23" t="s">
        <v>6</v>
      </c>
      <c r="D91" s="24"/>
      <c r="E91" s="24" t="s">
        <v>291</v>
      </c>
      <c r="F91" s="35">
        <v>45411</v>
      </c>
      <c r="G91" s="36" t="str">
        <f t="shared" ca="1" si="4"/>
        <v>2 THN 4 BLN</v>
      </c>
      <c r="H91" s="35">
        <v>37122</v>
      </c>
      <c r="I91" s="36" t="str">
        <f t="shared" ca="1" si="5"/>
        <v>25 THN 0 BLN</v>
      </c>
      <c r="J91" s="64" t="s">
        <v>377</v>
      </c>
      <c r="K91" s="59" t="s">
        <v>317</v>
      </c>
      <c r="L91" s="40" t="s">
        <v>317</v>
      </c>
      <c r="M91" s="23" t="s">
        <v>313</v>
      </c>
      <c r="N91" s="36" t="s">
        <v>401</v>
      </c>
    </row>
    <row r="92" spans="1:16" x14ac:dyDescent="0.35">
      <c r="A92" s="2">
        <v>565</v>
      </c>
      <c r="B92" s="3" t="s">
        <v>251</v>
      </c>
      <c r="C92" s="23" t="s">
        <v>34</v>
      </c>
      <c r="D92" s="24" t="s">
        <v>203</v>
      </c>
      <c r="E92" s="24" t="s">
        <v>316</v>
      </c>
      <c r="F92" s="39" t="s">
        <v>334</v>
      </c>
      <c r="G92" s="36" t="str">
        <f t="shared" ca="1" si="4"/>
        <v>2 THN 3 BLN</v>
      </c>
      <c r="H92" s="35">
        <v>38755</v>
      </c>
      <c r="I92" s="36" t="str">
        <f t="shared" ca="1" si="5"/>
        <v>20 THN 6 BLN</v>
      </c>
      <c r="J92" s="64" t="s">
        <v>377</v>
      </c>
      <c r="K92" s="59" t="s">
        <v>317</v>
      </c>
      <c r="L92" s="40" t="s">
        <v>317</v>
      </c>
      <c r="M92" s="23" t="s">
        <v>313</v>
      </c>
      <c r="N92" s="36"/>
    </row>
    <row r="93" spans="1:16" x14ac:dyDescent="0.35">
      <c r="A93" s="2">
        <v>568</v>
      </c>
      <c r="B93" s="58" t="s">
        <v>252</v>
      </c>
      <c r="C93" s="23" t="s">
        <v>34</v>
      </c>
      <c r="D93" s="24" t="s">
        <v>253</v>
      </c>
      <c r="E93" s="24" t="s">
        <v>316</v>
      </c>
      <c r="F93" s="39" t="s">
        <v>335</v>
      </c>
      <c r="G93" s="36" t="str">
        <f t="shared" ca="1" si="4"/>
        <v>2 THN 2 BLN</v>
      </c>
      <c r="H93" s="35">
        <v>38474</v>
      </c>
      <c r="I93" s="36" t="str">
        <f t="shared" ca="1" si="5"/>
        <v>21 THN 3 BLN</v>
      </c>
      <c r="J93" s="64" t="s">
        <v>377</v>
      </c>
      <c r="K93" s="59" t="s">
        <v>317</v>
      </c>
      <c r="L93" s="40" t="s">
        <v>317</v>
      </c>
      <c r="M93" s="23" t="s">
        <v>319</v>
      </c>
      <c r="N93" s="36"/>
    </row>
    <row r="94" spans="1:16" x14ac:dyDescent="0.35">
      <c r="A94" s="2">
        <v>574</v>
      </c>
      <c r="B94" s="3" t="s">
        <v>254</v>
      </c>
      <c r="C94" s="23" t="s">
        <v>6</v>
      </c>
      <c r="D94" s="24"/>
      <c r="E94" s="24" t="s">
        <v>316</v>
      </c>
      <c r="F94" s="35">
        <v>45475</v>
      </c>
      <c r="G94" s="36" t="str">
        <f t="shared" ca="1" si="4"/>
        <v>2 THN 1 BLN</v>
      </c>
      <c r="H94" s="35">
        <v>35715</v>
      </c>
      <c r="I94" s="36" t="str">
        <f t="shared" ca="1" si="5"/>
        <v>28 THN 10 BLN</v>
      </c>
      <c r="J94" s="64" t="s">
        <v>378</v>
      </c>
      <c r="K94" s="59" t="s">
        <v>317</v>
      </c>
      <c r="L94" s="40" t="s">
        <v>317</v>
      </c>
      <c r="M94" s="23" t="s">
        <v>313</v>
      </c>
      <c r="N94" s="36"/>
    </row>
    <row r="95" spans="1:16" x14ac:dyDescent="0.35">
      <c r="A95" s="2">
        <v>575</v>
      </c>
      <c r="B95" s="58" t="s">
        <v>371</v>
      </c>
      <c r="C95" s="23" t="s">
        <v>25</v>
      </c>
      <c r="D95" s="24"/>
      <c r="E95" s="24" t="s">
        <v>316</v>
      </c>
      <c r="F95" s="39" t="s">
        <v>336</v>
      </c>
      <c r="G95" s="36" t="str">
        <f t="shared" ca="1" si="4"/>
        <v>2 THN 1 BLN</v>
      </c>
      <c r="H95" s="35">
        <v>38029</v>
      </c>
      <c r="I95" s="36" t="str">
        <f t="shared" ca="1" si="5"/>
        <v>22 THN 6 BLN</v>
      </c>
      <c r="J95" s="64" t="s">
        <v>377</v>
      </c>
      <c r="K95" s="59" t="s">
        <v>317</v>
      </c>
      <c r="L95" s="40" t="s">
        <v>317</v>
      </c>
      <c r="M95" s="23" t="s">
        <v>319</v>
      </c>
      <c r="N95" s="36"/>
    </row>
    <row r="96" spans="1:16" x14ac:dyDescent="0.35">
      <c r="A96" s="2">
        <v>586</v>
      </c>
      <c r="B96" s="3" t="s">
        <v>256</v>
      </c>
      <c r="C96" s="23" t="s">
        <v>34</v>
      </c>
      <c r="D96" s="24" t="s">
        <v>203</v>
      </c>
      <c r="E96" s="24" t="s">
        <v>316</v>
      </c>
      <c r="F96" s="39" t="s">
        <v>337</v>
      </c>
      <c r="G96" s="36" t="str">
        <f t="shared" ca="1" si="4"/>
        <v>2 THN 0 BLN</v>
      </c>
      <c r="H96" s="35">
        <v>37663</v>
      </c>
      <c r="I96" s="36" t="str">
        <f t="shared" ca="1" si="5"/>
        <v>23 THN 6 BLN</v>
      </c>
      <c r="J96" s="64" t="s">
        <v>377</v>
      </c>
      <c r="K96" s="59" t="s">
        <v>317</v>
      </c>
      <c r="L96" s="40" t="s">
        <v>317</v>
      </c>
      <c r="M96" s="23" t="s">
        <v>313</v>
      </c>
      <c r="N96" s="36"/>
    </row>
    <row r="97" spans="1:14" x14ac:dyDescent="0.35">
      <c r="A97" s="2">
        <v>588</v>
      </c>
      <c r="B97" s="3" t="s">
        <v>257</v>
      </c>
      <c r="C97" s="23" t="s">
        <v>88</v>
      </c>
      <c r="D97" s="24"/>
      <c r="E97" s="24" t="s">
        <v>316</v>
      </c>
      <c r="F97" s="39" t="s">
        <v>338</v>
      </c>
      <c r="G97" s="36" t="str">
        <f t="shared" ca="1" si="4"/>
        <v>2 THN 0 BLN</v>
      </c>
      <c r="H97" s="35">
        <v>36708</v>
      </c>
      <c r="I97" s="36" t="str">
        <f t="shared" ca="1" si="5"/>
        <v>26 THN 1 BLN</v>
      </c>
      <c r="J97" s="64" t="s">
        <v>378</v>
      </c>
      <c r="K97" s="59" t="s">
        <v>317</v>
      </c>
      <c r="L97" s="40" t="s">
        <v>317</v>
      </c>
      <c r="M97" s="23" t="s">
        <v>313</v>
      </c>
      <c r="N97" s="36"/>
    </row>
    <row r="98" spans="1:14" x14ac:dyDescent="0.35">
      <c r="A98" s="2">
        <v>589</v>
      </c>
      <c r="B98" s="3" t="s">
        <v>258</v>
      </c>
      <c r="C98" s="23" t="s">
        <v>88</v>
      </c>
      <c r="D98" s="24"/>
      <c r="E98" s="24" t="s">
        <v>316</v>
      </c>
      <c r="F98" s="39" t="s">
        <v>338</v>
      </c>
      <c r="G98" s="36" t="str">
        <f t="shared" ca="1" si="4"/>
        <v>2 THN 0 BLN</v>
      </c>
      <c r="H98" s="35">
        <v>33906</v>
      </c>
      <c r="I98" s="36" t="str">
        <f t="shared" ca="1" si="5"/>
        <v>33 THN 10 BLN</v>
      </c>
      <c r="J98" s="64" t="s">
        <v>378</v>
      </c>
      <c r="K98" s="59" t="s">
        <v>317</v>
      </c>
      <c r="L98" s="40" t="s">
        <v>317</v>
      </c>
      <c r="M98" s="23" t="s">
        <v>313</v>
      </c>
      <c r="N98" s="36"/>
    </row>
    <row r="99" spans="1:14" x14ac:dyDescent="0.35">
      <c r="A99" s="2">
        <v>591</v>
      </c>
      <c r="B99" s="3" t="s">
        <v>259</v>
      </c>
      <c r="C99" s="23" t="s">
        <v>33</v>
      </c>
      <c r="D99" s="24"/>
      <c r="E99" s="24" t="s">
        <v>316</v>
      </c>
      <c r="F99" s="39" t="s">
        <v>339</v>
      </c>
      <c r="G99" s="36" t="str">
        <f t="shared" ref="G99:G130" ca="1" si="6">DATEDIF(F99,TODAY(),"Y")&amp; " THN "&amp;DATEDIF(F99,TODAY(),"YM")&amp;" BLN"</f>
        <v>2 THN 0 BLN</v>
      </c>
      <c r="H99" s="35">
        <v>34131</v>
      </c>
      <c r="I99" s="36" t="str">
        <f t="shared" ref="I99:I130" ca="1" si="7">DATEDIF(H99,TODAY(),"Y")&amp; " THN "&amp;DATEDIF(H99,TODAY(),"YM")&amp;" BLN"</f>
        <v>33 THN 2 BLN</v>
      </c>
      <c r="J99" s="64" t="s">
        <v>377</v>
      </c>
      <c r="K99" s="59" t="s">
        <v>317</v>
      </c>
      <c r="L99" s="40" t="s">
        <v>317</v>
      </c>
      <c r="M99" s="23" t="s">
        <v>309</v>
      </c>
      <c r="N99" s="36" t="s">
        <v>312</v>
      </c>
    </row>
    <row r="100" spans="1:14" x14ac:dyDescent="0.35">
      <c r="A100" s="2">
        <v>594</v>
      </c>
      <c r="B100" s="3" t="s">
        <v>260</v>
      </c>
      <c r="C100" s="23" t="s">
        <v>199</v>
      </c>
      <c r="D100" s="24"/>
      <c r="E100" s="24" t="s">
        <v>316</v>
      </c>
      <c r="F100" s="35">
        <v>45532</v>
      </c>
      <c r="G100" s="36" t="str">
        <f t="shared" ca="1" si="6"/>
        <v>2 THN 0 BLN</v>
      </c>
      <c r="H100" s="35">
        <v>33466</v>
      </c>
      <c r="I100" s="36" t="str">
        <f t="shared" ca="1" si="7"/>
        <v>35 THN 0 BLN</v>
      </c>
      <c r="J100" s="64" t="s">
        <v>377</v>
      </c>
      <c r="K100" s="59" t="s">
        <v>317</v>
      </c>
      <c r="L100" s="40" t="s">
        <v>317</v>
      </c>
      <c r="M100" s="23" t="s">
        <v>313</v>
      </c>
      <c r="N100" s="36"/>
    </row>
    <row r="101" spans="1:14" hidden="1" x14ac:dyDescent="0.35">
      <c r="A101" s="2">
        <v>595</v>
      </c>
      <c r="B101" s="3" t="s">
        <v>261</v>
      </c>
      <c r="C101" s="23" t="s">
        <v>199</v>
      </c>
      <c r="D101" s="24"/>
      <c r="E101" s="24" t="s">
        <v>291</v>
      </c>
      <c r="F101" s="35">
        <v>45532</v>
      </c>
      <c r="G101" s="36" t="str">
        <f t="shared" ca="1" si="6"/>
        <v>2 THN 0 BLN</v>
      </c>
      <c r="H101" s="35">
        <v>31422</v>
      </c>
      <c r="I101" s="36" t="str">
        <f t="shared" ca="1" si="7"/>
        <v>40 THN 7 BLN</v>
      </c>
      <c r="J101" s="64" t="s">
        <v>377</v>
      </c>
      <c r="K101" s="59" t="s">
        <v>317</v>
      </c>
      <c r="L101" s="40" t="s">
        <v>317</v>
      </c>
      <c r="M101" s="23" t="s">
        <v>313</v>
      </c>
      <c r="N101" s="36"/>
    </row>
    <row r="102" spans="1:14" x14ac:dyDescent="0.35">
      <c r="A102" s="2">
        <v>597</v>
      </c>
      <c r="B102" s="3" t="s">
        <v>262</v>
      </c>
      <c r="C102" s="23" t="s">
        <v>34</v>
      </c>
      <c r="D102" s="24"/>
      <c r="E102" s="24" t="s">
        <v>316</v>
      </c>
      <c r="F102" s="35">
        <v>45536</v>
      </c>
      <c r="G102" s="36" t="str">
        <f t="shared" ca="1" si="6"/>
        <v>1 THN 11 BLN</v>
      </c>
      <c r="H102" s="35">
        <v>38851</v>
      </c>
      <c r="I102" s="36" t="str">
        <f t="shared" ca="1" si="7"/>
        <v>20 THN 3 BLN</v>
      </c>
      <c r="J102" s="64" t="s">
        <v>377</v>
      </c>
      <c r="K102" s="59" t="s">
        <v>317</v>
      </c>
      <c r="L102" s="40" t="s">
        <v>317</v>
      </c>
      <c r="M102" s="23" t="s">
        <v>313</v>
      </c>
      <c r="N102" s="36"/>
    </row>
    <row r="103" spans="1:14" x14ac:dyDescent="0.35">
      <c r="A103" s="2">
        <v>598</v>
      </c>
      <c r="B103" s="58" t="s">
        <v>263</v>
      </c>
      <c r="C103" s="23" t="s">
        <v>25</v>
      </c>
      <c r="D103" s="24"/>
      <c r="E103" s="24" t="s">
        <v>316</v>
      </c>
      <c r="F103" s="35">
        <v>45536</v>
      </c>
      <c r="G103" s="36" t="str">
        <f t="shared" ca="1" si="6"/>
        <v>1 THN 11 BLN</v>
      </c>
      <c r="H103" s="35">
        <v>38770</v>
      </c>
      <c r="I103" s="36" t="str">
        <f t="shared" ca="1" si="7"/>
        <v>20 THN 6 BLN</v>
      </c>
      <c r="J103" s="64" t="s">
        <v>377</v>
      </c>
      <c r="K103" s="59" t="s">
        <v>317</v>
      </c>
      <c r="L103" s="40" t="s">
        <v>317</v>
      </c>
      <c r="M103" s="23" t="s">
        <v>319</v>
      </c>
      <c r="N103" s="36"/>
    </row>
    <row r="104" spans="1:14" x14ac:dyDescent="0.35">
      <c r="A104" s="2">
        <v>608</v>
      </c>
      <c r="B104" s="3" t="s">
        <v>264</v>
      </c>
      <c r="C104" s="23" t="s">
        <v>25</v>
      </c>
      <c r="D104" s="24"/>
      <c r="E104" s="24" t="s">
        <v>316</v>
      </c>
      <c r="F104" s="39" t="s">
        <v>345</v>
      </c>
      <c r="G104" s="36" t="str">
        <f t="shared" ca="1" si="6"/>
        <v>1 THN 10 BLN</v>
      </c>
      <c r="H104" s="35">
        <v>36104</v>
      </c>
      <c r="I104" s="36" t="str">
        <f t="shared" ca="1" si="7"/>
        <v>27 THN 9 BLN</v>
      </c>
      <c r="J104" s="64" t="s">
        <v>377</v>
      </c>
      <c r="K104" s="59" t="s">
        <v>317</v>
      </c>
      <c r="L104" s="40" t="s">
        <v>317</v>
      </c>
      <c r="M104" s="23" t="s">
        <v>309</v>
      </c>
      <c r="N104" s="36" t="s">
        <v>312</v>
      </c>
    </row>
    <row r="105" spans="1:14" x14ac:dyDescent="0.35">
      <c r="A105" s="2">
        <v>611</v>
      </c>
      <c r="B105" s="3" t="s">
        <v>265</v>
      </c>
      <c r="C105" s="23" t="s">
        <v>207</v>
      </c>
      <c r="D105" s="24"/>
      <c r="E105" s="24" t="s">
        <v>316</v>
      </c>
      <c r="F105" s="39" t="s">
        <v>346</v>
      </c>
      <c r="G105" s="36" t="str">
        <f t="shared" ca="1" si="6"/>
        <v>1 THN 10 BLN</v>
      </c>
      <c r="H105" s="35">
        <v>34927</v>
      </c>
      <c r="I105" s="36" t="str">
        <f t="shared" ca="1" si="7"/>
        <v>31 THN 0 BLN</v>
      </c>
      <c r="J105" s="64" t="s">
        <v>377</v>
      </c>
      <c r="K105" s="59" t="s">
        <v>317</v>
      </c>
      <c r="L105" s="40" t="s">
        <v>317</v>
      </c>
      <c r="M105" s="23" t="s">
        <v>309</v>
      </c>
      <c r="N105" s="36" t="s">
        <v>312</v>
      </c>
    </row>
    <row r="106" spans="1:14" x14ac:dyDescent="0.35">
      <c r="A106" s="2">
        <v>614</v>
      </c>
      <c r="B106" s="3" t="s">
        <v>266</v>
      </c>
      <c r="C106" s="23" t="s">
        <v>34</v>
      </c>
      <c r="D106" s="24" t="s">
        <v>204</v>
      </c>
      <c r="E106" s="24" t="s">
        <v>316</v>
      </c>
      <c r="F106" s="39" t="s">
        <v>347</v>
      </c>
      <c r="G106" s="36" t="str">
        <f t="shared" ca="1" si="6"/>
        <v>1 THN 8 BLN</v>
      </c>
      <c r="H106" s="35">
        <v>38716</v>
      </c>
      <c r="I106" s="36" t="str">
        <f t="shared" ca="1" si="7"/>
        <v>20 THN 7 BLN</v>
      </c>
      <c r="J106" s="64" t="s">
        <v>377</v>
      </c>
      <c r="K106" s="59" t="s">
        <v>317</v>
      </c>
      <c r="L106" s="40" t="s">
        <v>313</v>
      </c>
      <c r="M106" s="23" t="s">
        <v>313</v>
      </c>
      <c r="N106" s="36"/>
    </row>
    <row r="107" spans="1:14" x14ac:dyDescent="0.35">
      <c r="A107" s="2">
        <v>616</v>
      </c>
      <c r="B107" s="3" t="s">
        <v>267</v>
      </c>
      <c r="C107" s="23" t="s">
        <v>6</v>
      </c>
      <c r="D107" s="24"/>
      <c r="E107" s="24" t="s">
        <v>316</v>
      </c>
      <c r="F107" s="35">
        <v>45644</v>
      </c>
      <c r="G107" s="36" t="str">
        <f t="shared" ca="1" si="6"/>
        <v>1 THN 8 BLN</v>
      </c>
      <c r="H107" s="35">
        <v>35577</v>
      </c>
      <c r="I107" s="36" t="str">
        <f t="shared" ca="1" si="7"/>
        <v>29 THN 3 BLN</v>
      </c>
      <c r="J107" s="64" t="s">
        <v>378</v>
      </c>
      <c r="K107" s="59" t="s">
        <v>317</v>
      </c>
      <c r="L107" s="40" t="s">
        <v>317</v>
      </c>
      <c r="M107" s="23" t="s">
        <v>313</v>
      </c>
      <c r="N107" s="36"/>
    </row>
    <row r="108" spans="1:14" hidden="1" x14ac:dyDescent="0.35">
      <c r="A108" s="2">
        <v>617</v>
      </c>
      <c r="B108" s="3" t="s">
        <v>268</v>
      </c>
      <c r="C108" s="23" t="s">
        <v>6</v>
      </c>
      <c r="D108" s="24"/>
      <c r="E108" s="24" t="s">
        <v>291</v>
      </c>
      <c r="F108" s="35">
        <v>45644</v>
      </c>
      <c r="G108" s="36" t="str">
        <f t="shared" ca="1" si="6"/>
        <v>1 THN 8 BLN</v>
      </c>
      <c r="H108" s="35">
        <v>38822</v>
      </c>
      <c r="I108" s="36" t="str">
        <f t="shared" ca="1" si="7"/>
        <v>20 THN 4 BLN</v>
      </c>
      <c r="J108" s="64" t="s">
        <v>378</v>
      </c>
      <c r="K108" s="59" t="s">
        <v>317</v>
      </c>
      <c r="L108" s="40" t="s">
        <v>317</v>
      </c>
      <c r="M108" s="23" t="s">
        <v>313</v>
      </c>
      <c r="N108" s="36" t="s">
        <v>402</v>
      </c>
    </row>
    <row r="109" spans="1:14" x14ac:dyDescent="0.35">
      <c r="A109" s="2">
        <v>621</v>
      </c>
      <c r="B109" s="3" t="s">
        <v>269</v>
      </c>
      <c r="C109" s="24" t="s">
        <v>34</v>
      </c>
      <c r="D109" s="24" t="s">
        <v>208</v>
      </c>
      <c r="E109" s="24" t="s">
        <v>316</v>
      </c>
      <c r="F109" s="39" t="s">
        <v>348</v>
      </c>
      <c r="G109" s="36" t="str">
        <f t="shared" ca="1" si="6"/>
        <v>1 THN 7 BLN</v>
      </c>
      <c r="H109" s="35">
        <v>38671</v>
      </c>
      <c r="I109" s="36" t="str">
        <f t="shared" ca="1" si="7"/>
        <v>20 THN 9 BLN</v>
      </c>
      <c r="J109" s="64" t="s">
        <v>377</v>
      </c>
      <c r="K109" s="59" t="s">
        <v>317</v>
      </c>
      <c r="L109" s="40" t="s">
        <v>317</v>
      </c>
      <c r="M109" s="23" t="s">
        <v>313</v>
      </c>
      <c r="N109" s="36"/>
    </row>
    <row r="110" spans="1:14" x14ac:dyDescent="0.35">
      <c r="A110" s="2">
        <v>622</v>
      </c>
      <c r="B110" s="3" t="s">
        <v>270</v>
      </c>
      <c r="C110" s="24" t="s">
        <v>34</v>
      </c>
      <c r="D110" s="24"/>
      <c r="E110" s="24" t="s">
        <v>316</v>
      </c>
      <c r="F110" s="35">
        <v>45924</v>
      </c>
      <c r="G110" s="36" t="str">
        <f t="shared" ca="1" si="6"/>
        <v>0 THN 11 BLN</v>
      </c>
      <c r="H110" s="69">
        <v>37788</v>
      </c>
      <c r="I110" s="56" t="str">
        <f t="shared" ca="1" si="7"/>
        <v>23 THN 2 BLN</v>
      </c>
      <c r="J110" s="65" t="s">
        <v>377</v>
      </c>
      <c r="K110" s="61" t="s">
        <v>362</v>
      </c>
      <c r="L110" s="40" t="s">
        <v>313</v>
      </c>
      <c r="M110" s="23" t="s">
        <v>313</v>
      </c>
      <c r="N110" s="36"/>
    </row>
    <row r="111" spans="1:14" x14ac:dyDescent="0.35">
      <c r="A111" s="2">
        <v>633</v>
      </c>
      <c r="B111" s="3" t="s">
        <v>271</v>
      </c>
      <c r="C111" s="23" t="s">
        <v>34</v>
      </c>
      <c r="D111" s="24"/>
      <c r="E111" s="24" t="s">
        <v>316</v>
      </c>
      <c r="F111" s="35">
        <v>45698</v>
      </c>
      <c r="G111" s="36" t="str">
        <f t="shared" ca="1" si="6"/>
        <v>1 THN 6 BLN</v>
      </c>
      <c r="H111" s="35">
        <v>36791</v>
      </c>
      <c r="I111" s="36" t="str">
        <f t="shared" ca="1" si="7"/>
        <v>25 THN 11 BLN</v>
      </c>
      <c r="J111" s="64" t="s">
        <v>377</v>
      </c>
      <c r="K111" s="59" t="s">
        <v>317</v>
      </c>
      <c r="L111" s="40" t="s">
        <v>317</v>
      </c>
      <c r="M111" s="23" t="s">
        <v>313</v>
      </c>
      <c r="N111" s="36"/>
    </row>
    <row r="112" spans="1:14" x14ac:dyDescent="0.35">
      <c r="A112" s="2">
        <v>638</v>
      </c>
      <c r="B112" s="3" t="s">
        <v>340</v>
      </c>
      <c r="C112" s="23" t="s">
        <v>6</v>
      </c>
      <c r="D112" s="24" t="s">
        <v>192</v>
      </c>
      <c r="E112" s="24" t="s">
        <v>316</v>
      </c>
      <c r="F112" s="35">
        <v>45700</v>
      </c>
      <c r="G112" s="36" t="str">
        <f t="shared" ca="1" si="6"/>
        <v>1 THN 6 BLN</v>
      </c>
      <c r="H112" s="35">
        <v>37395</v>
      </c>
      <c r="I112" s="36" t="str">
        <f t="shared" ca="1" si="7"/>
        <v>24 THN 3 BLN</v>
      </c>
      <c r="J112" s="64" t="s">
        <v>377</v>
      </c>
      <c r="K112" s="59" t="s">
        <v>317</v>
      </c>
      <c r="L112" s="40" t="s">
        <v>317</v>
      </c>
      <c r="M112" s="23" t="s">
        <v>313</v>
      </c>
      <c r="N112" s="36"/>
    </row>
    <row r="113" spans="1:16" hidden="1" x14ac:dyDescent="0.35">
      <c r="A113" s="2">
        <v>644</v>
      </c>
      <c r="B113" s="3" t="s">
        <v>272</v>
      </c>
      <c r="C113" s="23" t="s">
        <v>6</v>
      </c>
      <c r="D113" s="24" t="s">
        <v>192</v>
      </c>
      <c r="E113" s="24" t="s">
        <v>291</v>
      </c>
      <c r="F113" s="35">
        <v>45712</v>
      </c>
      <c r="G113" s="36" t="str">
        <f t="shared" ca="1" si="6"/>
        <v>1 THN 6 BLN</v>
      </c>
      <c r="H113" s="35">
        <v>33979</v>
      </c>
      <c r="I113" s="36" t="str">
        <f t="shared" ca="1" si="7"/>
        <v>33 THN 7 BLN</v>
      </c>
      <c r="J113" s="64" t="s">
        <v>378</v>
      </c>
      <c r="K113" s="59" t="s">
        <v>317</v>
      </c>
      <c r="L113" s="40" t="s">
        <v>317</v>
      </c>
      <c r="M113" s="23" t="s">
        <v>313</v>
      </c>
      <c r="N113" s="36" t="s">
        <v>403</v>
      </c>
    </row>
    <row r="114" spans="1:16" x14ac:dyDescent="0.35">
      <c r="A114" s="2">
        <v>650</v>
      </c>
      <c r="B114" s="3" t="s">
        <v>273</v>
      </c>
      <c r="C114" s="23" t="s">
        <v>34</v>
      </c>
      <c r="D114" s="24" t="s">
        <v>223</v>
      </c>
      <c r="E114" s="24" t="s">
        <v>316</v>
      </c>
      <c r="F114" s="39" t="s">
        <v>349</v>
      </c>
      <c r="G114" s="36" t="str">
        <f t="shared" ca="1" si="6"/>
        <v>1 THN 5 BLN</v>
      </c>
      <c r="H114" s="35">
        <v>37084</v>
      </c>
      <c r="I114" s="36" t="str">
        <f t="shared" ca="1" si="7"/>
        <v>25 THN 1 BLN</v>
      </c>
      <c r="J114" s="64" t="s">
        <v>378</v>
      </c>
      <c r="K114" s="59" t="s">
        <v>317</v>
      </c>
      <c r="L114" s="40" t="s">
        <v>317</v>
      </c>
      <c r="M114" s="23" t="s">
        <v>313</v>
      </c>
      <c r="N114" s="36"/>
    </row>
    <row r="115" spans="1:16" x14ac:dyDescent="0.35">
      <c r="A115" s="2">
        <v>655</v>
      </c>
      <c r="B115" s="3" t="s">
        <v>274</v>
      </c>
      <c r="C115" s="23" t="s">
        <v>69</v>
      </c>
      <c r="D115" s="24"/>
      <c r="E115" s="24" t="s">
        <v>316</v>
      </c>
      <c r="F115" s="39" t="s">
        <v>350</v>
      </c>
      <c r="G115" s="36" t="str">
        <f t="shared" ca="1" si="6"/>
        <v>1 THN 5 BLN</v>
      </c>
      <c r="H115" s="35">
        <v>35293</v>
      </c>
      <c r="I115" s="36" t="str">
        <f t="shared" ca="1" si="7"/>
        <v>30 THN 0 BLN</v>
      </c>
      <c r="J115" s="64" t="s">
        <v>377</v>
      </c>
      <c r="K115" s="59" t="s">
        <v>317</v>
      </c>
      <c r="L115" s="40" t="s">
        <v>313</v>
      </c>
      <c r="M115" s="23" t="s">
        <v>309</v>
      </c>
      <c r="N115" s="36" t="s">
        <v>311</v>
      </c>
    </row>
    <row r="116" spans="1:16" x14ac:dyDescent="0.35">
      <c r="A116" s="2">
        <v>661</v>
      </c>
      <c r="B116" s="3" t="s">
        <v>275</v>
      </c>
      <c r="C116" s="23" t="s">
        <v>192</v>
      </c>
      <c r="D116" s="24"/>
      <c r="E116" s="24" t="s">
        <v>316</v>
      </c>
      <c r="F116" s="39" t="s">
        <v>351</v>
      </c>
      <c r="G116" s="36" t="str">
        <f t="shared" ca="1" si="6"/>
        <v>1 THN 3 BLN</v>
      </c>
      <c r="H116" s="35">
        <v>39028</v>
      </c>
      <c r="I116" s="36" t="str">
        <f t="shared" ca="1" si="7"/>
        <v>19 THN 9 BLN</v>
      </c>
      <c r="J116" s="64" t="s">
        <v>377</v>
      </c>
      <c r="K116" s="59" t="s">
        <v>317</v>
      </c>
      <c r="L116" s="40" t="s">
        <v>313</v>
      </c>
      <c r="M116" s="23" t="s">
        <v>313</v>
      </c>
      <c r="N116" s="36"/>
    </row>
    <row r="117" spans="1:16" x14ac:dyDescent="0.35">
      <c r="A117" s="2">
        <v>662</v>
      </c>
      <c r="B117" s="3" t="s">
        <v>276</v>
      </c>
      <c r="C117" s="23" t="s">
        <v>192</v>
      </c>
      <c r="D117" s="24"/>
      <c r="E117" s="24" t="s">
        <v>316</v>
      </c>
      <c r="F117" s="39" t="s">
        <v>352</v>
      </c>
      <c r="G117" s="36" t="str">
        <f t="shared" ca="1" si="6"/>
        <v>1 THN 3 BLN</v>
      </c>
      <c r="H117" s="35">
        <v>36803</v>
      </c>
      <c r="I117" s="36" t="str">
        <f t="shared" ca="1" si="7"/>
        <v>25 THN 10 BLN</v>
      </c>
      <c r="J117" s="64" t="s">
        <v>377</v>
      </c>
      <c r="K117" s="59" t="s">
        <v>317</v>
      </c>
      <c r="L117" s="40" t="s">
        <v>313</v>
      </c>
      <c r="M117" s="23" t="s">
        <v>313</v>
      </c>
      <c r="N117" s="36"/>
    </row>
    <row r="118" spans="1:16" x14ac:dyDescent="0.35">
      <c r="A118" s="12">
        <v>669</v>
      </c>
      <c r="B118" s="13" t="s">
        <v>277</v>
      </c>
      <c r="C118" s="25" t="s">
        <v>6</v>
      </c>
      <c r="D118" s="25" t="s">
        <v>36</v>
      </c>
      <c r="E118" s="24" t="s">
        <v>316</v>
      </c>
      <c r="F118" s="35">
        <v>45812</v>
      </c>
      <c r="G118" s="36" t="str">
        <f t="shared" ca="1" si="6"/>
        <v>1 THN 2 BLN</v>
      </c>
      <c r="H118" s="35">
        <v>35341</v>
      </c>
      <c r="I118" s="36" t="str">
        <f t="shared" ca="1" si="7"/>
        <v>29 THN 10 BLN</v>
      </c>
      <c r="J118" s="64" t="s">
        <v>378</v>
      </c>
      <c r="K118" s="59" t="s">
        <v>317</v>
      </c>
      <c r="L118" s="40" t="s">
        <v>317</v>
      </c>
      <c r="M118" s="23" t="s">
        <v>313</v>
      </c>
      <c r="N118" s="36"/>
    </row>
    <row r="119" spans="1:16" x14ac:dyDescent="0.35">
      <c r="A119" s="2">
        <v>673</v>
      </c>
      <c r="B119" s="3" t="s">
        <v>278</v>
      </c>
      <c r="C119" s="23" t="s">
        <v>6</v>
      </c>
      <c r="D119" s="24"/>
      <c r="E119" s="24" t="s">
        <v>316</v>
      </c>
      <c r="F119" s="35">
        <v>45847</v>
      </c>
      <c r="G119" s="36" t="str">
        <f t="shared" ca="1" si="6"/>
        <v>1 THN 1 BLN</v>
      </c>
      <c r="H119" s="35">
        <v>33401</v>
      </c>
      <c r="I119" s="36" t="str">
        <f t="shared" ca="1" si="7"/>
        <v>35 THN 2 BLN</v>
      </c>
      <c r="J119" s="64" t="s">
        <v>378</v>
      </c>
      <c r="K119" s="59" t="s">
        <v>317</v>
      </c>
      <c r="L119" s="40" t="s">
        <v>313</v>
      </c>
      <c r="M119" s="23" t="s">
        <v>313</v>
      </c>
      <c r="N119" s="36"/>
    </row>
    <row r="120" spans="1:16" hidden="1" x14ac:dyDescent="0.35">
      <c r="A120" s="2">
        <v>675</v>
      </c>
      <c r="B120" s="3" t="s">
        <v>279</v>
      </c>
      <c r="C120" s="26" t="s">
        <v>6</v>
      </c>
      <c r="D120" s="27" t="s">
        <v>206</v>
      </c>
      <c r="E120" s="24" t="s">
        <v>291</v>
      </c>
      <c r="F120" s="35">
        <v>45862</v>
      </c>
      <c r="G120" s="36" t="str">
        <f t="shared" ca="1" si="6"/>
        <v>1 THN 1 BLN</v>
      </c>
      <c r="H120" s="35">
        <v>34539</v>
      </c>
      <c r="I120" s="36" t="str">
        <f t="shared" ca="1" si="7"/>
        <v>32 THN 1 BLN</v>
      </c>
      <c r="J120" s="64" t="s">
        <v>377</v>
      </c>
      <c r="K120" s="59" t="s">
        <v>317</v>
      </c>
      <c r="L120" s="40" t="s">
        <v>317</v>
      </c>
      <c r="M120" s="23" t="s">
        <v>313</v>
      </c>
      <c r="N120" s="36"/>
      <c r="O120" s="7">
        <v>46116</v>
      </c>
      <c r="P120" s="1" t="s">
        <v>383</v>
      </c>
    </row>
    <row r="121" spans="1:16" x14ac:dyDescent="0.35">
      <c r="A121" s="2">
        <v>676</v>
      </c>
      <c r="B121" s="3" t="s">
        <v>280</v>
      </c>
      <c r="C121" s="26" t="s">
        <v>6</v>
      </c>
      <c r="D121" s="27"/>
      <c r="E121" s="24" t="s">
        <v>316</v>
      </c>
      <c r="F121" s="35">
        <v>45895</v>
      </c>
      <c r="G121" s="36" t="str">
        <f t="shared" ca="1" si="6"/>
        <v>1 THN 0 BLN</v>
      </c>
      <c r="H121" s="35">
        <v>34149</v>
      </c>
      <c r="I121" s="36" t="str">
        <f t="shared" ca="1" si="7"/>
        <v>33 THN 2 BLN</v>
      </c>
      <c r="J121" s="64" t="s">
        <v>377</v>
      </c>
      <c r="K121" s="59" t="s">
        <v>317</v>
      </c>
      <c r="L121" s="40" t="s">
        <v>317</v>
      </c>
      <c r="M121" s="23" t="s">
        <v>313</v>
      </c>
      <c r="N121" s="36"/>
    </row>
    <row r="122" spans="1:16" x14ac:dyDescent="0.35">
      <c r="A122" s="2">
        <v>677</v>
      </c>
      <c r="B122" s="58" t="s">
        <v>281</v>
      </c>
      <c r="C122" s="26" t="s">
        <v>207</v>
      </c>
      <c r="D122" s="27"/>
      <c r="E122" s="24" t="s">
        <v>316</v>
      </c>
      <c r="F122" s="39" t="s">
        <v>353</v>
      </c>
      <c r="G122" s="36" t="str">
        <f t="shared" ca="1" si="6"/>
        <v>1 THN 0 BLN</v>
      </c>
      <c r="H122" s="35">
        <v>29756</v>
      </c>
      <c r="I122" s="36" t="str">
        <f t="shared" ca="1" si="7"/>
        <v>45 THN 2 BLN</v>
      </c>
      <c r="J122" s="64" t="s">
        <v>377</v>
      </c>
      <c r="K122" s="59" t="s">
        <v>317</v>
      </c>
      <c r="L122" s="40" t="s">
        <v>313</v>
      </c>
      <c r="M122" s="23" t="s">
        <v>319</v>
      </c>
      <c r="N122" s="57" t="s">
        <v>361</v>
      </c>
    </row>
    <row r="123" spans="1:16" x14ac:dyDescent="0.35">
      <c r="A123" s="2">
        <v>694</v>
      </c>
      <c r="B123" s="3" t="s">
        <v>289</v>
      </c>
      <c r="C123" s="26" t="s">
        <v>6</v>
      </c>
      <c r="D123" s="27"/>
      <c r="E123" s="24" t="s">
        <v>316</v>
      </c>
      <c r="F123" s="35">
        <v>45910</v>
      </c>
      <c r="G123" s="36" t="str">
        <f t="shared" ca="1" si="6"/>
        <v>0 THN 11 BLN</v>
      </c>
      <c r="H123" s="35">
        <v>34224</v>
      </c>
      <c r="I123" s="36" t="str">
        <f t="shared" ca="1" si="7"/>
        <v>32 THN 11 BLN</v>
      </c>
      <c r="J123" s="64" t="s">
        <v>378</v>
      </c>
      <c r="K123" s="59" t="s">
        <v>317</v>
      </c>
      <c r="L123" s="40" t="s">
        <v>1</v>
      </c>
      <c r="M123" s="23" t="s">
        <v>313</v>
      </c>
      <c r="N123" s="51"/>
    </row>
    <row r="124" spans="1:16" x14ac:dyDescent="0.35">
      <c r="A124" s="2">
        <v>696</v>
      </c>
      <c r="B124" s="3" t="s">
        <v>292</v>
      </c>
      <c r="C124" s="26" t="s">
        <v>34</v>
      </c>
      <c r="D124" s="27" t="s">
        <v>293</v>
      </c>
      <c r="E124" s="24" t="s">
        <v>316</v>
      </c>
      <c r="F124" s="39" t="s">
        <v>354</v>
      </c>
      <c r="G124" s="36" t="str">
        <f t="shared" ca="1" si="6"/>
        <v>0 THN 11 BLN</v>
      </c>
      <c r="H124" s="35">
        <v>34179</v>
      </c>
      <c r="I124" s="36" t="str">
        <f t="shared" ca="1" si="7"/>
        <v>33 THN 1 BLN</v>
      </c>
      <c r="J124" s="64" t="s">
        <v>377</v>
      </c>
      <c r="K124" s="59" t="s">
        <v>317</v>
      </c>
      <c r="L124" s="40" t="s">
        <v>313</v>
      </c>
      <c r="M124" s="23" t="s">
        <v>313</v>
      </c>
      <c r="N124" s="51"/>
    </row>
    <row r="125" spans="1:16" x14ac:dyDescent="0.35">
      <c r="A125" s="2">
        <v>697</v>
      </c>
      <c r="B125" s="3" t="s">
        <v>294</v>
      </c>
      <c r="C125" s="23" t="s">
        <v>6</v>
      </c>
      <c r="D125" s="24" t="s">
        <v>192</v>
      </c>
      <c r="E125" s="24" t="s">
        <v>316</v>
      </c>
      <c r="F125" s="35">
        <v>45915</v>
      </c>
      <c r="G125" s="36" t="str">
        <f t="shared" ca="1" si="6"/>
        <v>0 THN 11 BLN</v>
      </c>
      <c r="H125" s="35">
        <v>37271</v>
      </c>
      <c r="I125" s="36" t="str">
        <f t="shared" ca="1" si="7"/>
        <v>24 THN 7 BLN</v>
      </c>
      <c r="J125" s="64" t="s">
        <v>378</v>
      </c>
      <c r="K125" s="59" t="s">
        <v>317</v>
      </c>
      <c r="L125" s="40" t="s">
        <v>317</v>
      </c>
      <c r="M125" s="23" t="s">
        <v>313</v>
      </c>
      <c r="N125" s="51"/>
    </row>
    <row r="126" spans="1:16" x14ac:dyDescent="0.35">
      <c r="A126" s="2">
        <v>698</v>
      </c>
      <c r="B126" s="3" t="s">
        <v>295</v>
      </c>
      <c r="C126" s="23" t="s">
        <v>88</v>
      </c>
      <c r="D126" s="24"/>
      <c r="E126" s="24" t="s">
        <v>316</v>
      </c>
      <c r="F126" s="39" t="s">
        <v>355</v>
      </c>
      <c r="G126" s="36" t="str">
        <f t="shared" ca="1" si="6"/>
        <v>0 THN 11 BLN</v>
      </c>
      <c r="H126" s="35">
        <v>35394</v>
      </c>
      <c r="I126" s="36" t="str">
        <f t="shared" ca="1" si="7"/>
        <v>29 THN 9 BLN</v>
      </c>
      <c r="J126" s="64" t="s">
        <v>378</v>
      </c>
      <c r="K126" s="59" t="s">
        <v>317</v>
      </c>
      <c r="L126" s="40" t="s">
        <v>313</v>
      </c>
      <c r="M126" s="23" t="s">
        <v>313</v>
      </c>
      <c r="N126" s="51"/>
    </row>
    <row r="127" spans="1:16" x14ac:dyDescent="0.35">
      <c r="A127" s="2">
        <v>701</v>
      </c>
      <c r="B127" s="3" t="s">
        <v>298</v>
      </c>
      <c r="C127" s="23" t="s">
        <v>34</v>
      </c>
      <c r="D127" s="24" t="s">
        <v>293</v>
      </c>
      <c r="E127" s="24" t="s">
        <v>316</v>
      </c>
      <c r="F127" s="39" t="s">
        <v>356</v>
      </c>
      <c r="G127" s="36" t="str">
        <f t="shared" ca="1" si="6"/>
        <v>0 THN 11 BLN</v>
      </c>
      <c r="H127" s="35">
        <v>37880</v>
      </c>
      <c r="I127" s="36" t="str">
        <f t="shared" ca="1" si="7"/>
        <v>22 THN 11 BLN</v>
      </c>
      <c r="J127" s="64" t="s">
        <v>377</v>
      </c>
      <c r="K127" s="59" t="s">
        <v>317</v>
      </c>
      <c r="L127" s="40" t="s">
        <v>313</v>
      </c>
      <c r="M127" s="23" t="s">
        <v>313</v>
      </c>
      <c r="N127" s="51"/>
    </row>
    <row r="128" spans="1:16" x14ac:dyDescent="0.35">
      <c r="A128" s="2">
        <v>702</v>
      </c>
      <c r="B128" s="58" t="s">
        <v>299</v>
      </c>
      <c r="C128" s="23" t="s">
        <v>25</v>
      </c>
      <c r="D128" s="24"/>
      <c r="E128" s="24" t="s">
        <v>316</v>
      </c>
      <c r="F128" s="39" t="s">
        <v>357</v>
      </c>
      <c r="G128" s="36" t="str">
        <f t="shared" ca="1" si="6"/>
        <v>0 THN 11 BLN</v>
      </c>
      <c r="H128" s="35">
        <v>36864</v>
      </c>
      <c r="I128" s="36" t="str">
        <f t="shared" ca="1" si="7"/>
        <v>25 THN 8 BLN</v>
      </c>
      <c r="J128" s="64" t="s">
        <v>377</v>
      </c>
      <c r="K128" s="59" t="s">
        <v>317</v>
      </c>
      <c r="L128" s="40" t="s">
        <v>313</v>
      </c>
      <c r="M128" s="23" t="s">
        <v>319</v>
      </c>
      <c r="N128" s="57" t="s">
        <v>360</v>
      </c>
    </row>
    <row r="129" spans="1:16" x14ac:dyDescent="0.35">
      <c r="A129" s="2">
        <v>705</v>
      </c>
      <c r="B129" s="3" t="s">
        <v>302</v>
      </c>
      <c r="C129" s="23" t="s">
        <v>34</v>
      </c>
      <c r="D129" s="24" t="s">
        <v>223</v>
      </c>
      <c r="E129" s="24" t="s">
        <v>316</v>
      </c>
      <c r="F129" s="39" t="s">
        <v>358</v>
      </c>
      <c r="G129" s="36" t="str">
        <f t="shared" ca="1" si="6"/>
        <v>0 THN 11 BLN</v>
      </c>
      <c r="H129" s="35">
        <v>36415</v>
      </c>
      <c r="I129" s="36" t="str">
        <f t="shared" ca="1" si="7"/>
        <v>26 THN 11 BLN</v>
      </c>
      <c r="J129" s="64" t="s">
        <v>378</v>
      </c>
      <c r="K129" s="59" t="s">
        <v>317</v>
      </c>
      <c r="L129" s="40" t="s">
        <v>313</v>
      </c>
      <c r="M129" s="23" t="s">
        <v>313</v>
      </c>
      <c r="N129" s="51"/>
    </row>
    <row r="130" spans="1:16" ht="15" thickBot="1" x14ac:dyDescent="0.4">
      <c r="A130" s="2">
        <v>706</v>
      </c>
      <c r="B130" s="3" t="s">
        <v>303</v>
      </c>
      <c r="C130" s="23" t="s">
        <v>34</v>
      </c>
      <c r="D130" s="24" t="s">
        <v>293</v>
      </c>
      <c r="E130" s="24" t="s">
        <v>316</v>
      </c>
      <c r="F130" s="39" t="s">
        <v>359</v>
      </c>
      <c r="G130" s="36" t="str">
        <f t="shared" ca="1" si="6"/>
        <v>0 THN 11 BLN</v>
      </c>
      <c r="H130" s="35">
        <v>35478</v>
      </c>
      <c r="I130" s="36" t="str">
        <f t="shared" ca="1" si="7"/>
        <v>29 THN 6 BLN</v>
      </c>
      <c r="J130" s="64" t="s">
        <v>377</v>
      </c>
      <c r="K130" s="59" t="s">
        <v>317</v>
      </c>
      <c r="L130" s="53" t="s">
        <v>317</v>
      </c>
      <c r="M130" s="23" t="s">
        <v>313</v>
      </c>
      <c r="N130" s="51"/>
    </row>
    <row r="131" spans="1:16" ht="15" thickBot="1" x14ac:dyDescent="0.4">
      <c r="A131" s="2">
        <v>707</v>
      </c>
      <c r="B131" s="3" t="s">
        <v>304</v>
      </c>
      <c r="C131" s="23" t="s">
        <v>34</v>
      </c>
      <c r="D131" s="24" t="s">
        <v>293</v>
      </c>
      <c r="E131" s="24" t="s">
        <v>316</v>
      </c>
      <c r="F131" s="39" t="s">
        <v>359</v>
      </c>
      <c r="G131" s="36" t="str">
        <f t="shared" ref="G131:G139" ca="1" si="8">DATEDIF(F131,TODAY(),"Y")&amp; " THN "&amp;DATEDIF(F131,TODAY(),"YM")&amp;" BLN"</f>
        <v>0 THN 11 BLN</v>
      </c>
      <c r="H131" s="35">
        <v>36969</v>
      </c>
      <c r="I131" s="36" t="str">
        <f t="shared" ref="I131:I139" ca="1" si="9">DATEDIF(H131,TODAY(),"Y")&amp; " THN "&amp;DATEDIF(H131,TODAY(),"YM")&amp;" BLN"</f>
        <v>25 THN 5 BLN</v>
      </c>
      <c r="J131" s="64" t="s">
        <v>377</v>
      </c>
      <c r="K131" s="59" t="s">
        <v>317</v>
      </c>
      <c r="L131" s="53" t="s">
        <v>317</v>
      </c>
      <c r="M131" s="23" t="s">
        <v>313</v>
      </c>
      <c r="N131" s="51"/>
    </row>
    <row r="132" spans="1:16" ht="15" thickBot="1" x14ac:dyDescent="0.4">
      <c r="A132" s="2">
        <v>708</v>
      </c>
      <c r="B132" s="58" t="s">
        <v>305</v>
      </c>
      <c r="C132" s="23" t="s">
        <v>6</v>
      </c>
      <c r="D132" s="24"/>
      <c r="E132" s="24" t="s">
        <v>316</v>
      </c>
      <c r="F132" s="43">
        <v>45931</v>
      </c>
      <c r="G132" s="44" t="str">
        <f t="shared" ca="1" si="8"/>
        <v>0 THN 10 BLN</v>
      </c>
      <c r="H132" s="43">
        <v>36505</v>
      </c>
      <c r="I132" s="44" t="str">
        <f t="shared" ca="1" si="9"/>
        <v>26 THN 8 BLN</v>
      </c>
      <c r="J132" s="66" t="s">
        <v>377</v>
      </c>
      <c r="K132" s="63" t="s">
        <v>317</v>
      </c>
      <c r="L132" s="53" t="s">
        <v>317</v>
      </c>
      <c r="M132" s="54" t="s">
        <v>319</v>
      </c>
      <c r="N132" s="55"/>
    </row>
    <row r="133" spans="1:16" x14ac:dyDescent="0.35">
      <c r="A133" s="2">
        <v>709</v>
      </c>
      <c r="B133" s="3" t="s">
        <v>364</v>
      </c>
      <c r="C133" s="23" t="s">
        <v>6</v>
      </c>
      <c r="D133" s="24" t="s">
        <v>150</v>
      </c>
      <c r="E133" s="24" t="s">
        <v>316</v>
      </c>
      <c r="F133" s="39">
        <v>46013</v>
      </c>
      <c r="G133" s="36" t="str">
        <f t="shared" ca="1" si="8"/>
        <v>0 THN 8 BLN</v>
      </c>
      <c r="H133" s="35">
        <v>36778</v>
      </c>
      <c r="I133" s="36" t="str">
        <f t="shared" ca="1" si="9"/>
        <v>25 THN 11 BLN</v>
      </c>
      <c r="J133" s="64" t="s">
        <v>378</v>
      </c>
      <c r="K133" s="59" t="s">
        <v>317</v>
      </c>
      <c r="L133" s="40" t="s">
        <v>317</v>
      </c>
      <c r="M133" s="23" t="s">
        <v>313</v>
      </c>
      <c r="N133" s="51"/>
    </row>
    <row r="134" spans="1:16" x14ac:dyDescent="0.35">
      <c r="A134" s="2">
        <v>710</v>
      </c>
      <c r="B134" s="3" t="s">
        <v>365</v>
      </c>
      <c r="C134" s="23" t="s">
        <v>6</v>
      </c>
      <c r="D134" s="24" t="s">
        <v>366</v>
      </c>
      <c r="E134" s="24" t="s">
        <v>316</v>
      </c>
      <c r="F134" s="39">
        <v>46062</v>
      </c>
      <c r="G134" s="36" t="str">
        <f t="shared" ca="1" si="8"/>
        <v>0 THN 6 BLN</v>
      </c>
      <c r="H134" s="35">
        <v>33010</v>
      </c>
      <c r="I134" s="36" t="str">
        <f t="shared" ca="1" si="9"/>
        <v>36 THN 3 BLN</v>
      </c>
      <c r="J134" s="64" t="s">
        <v>378</v>
      </c>
      <c r="K134" s="59" t="s">
        <v>317</v>
      </c>
      <c r="L134" s="23" t="s">
        <v>313</v>
      </c>
      <c r="M134" s="23" t="s">
        <v>313</v>
      </c>
      <c r="N134" s="51"/>
    </row>
    <row r="135" spans="1:16" x14ac:dyDescent="0.35">
      <c r="A135" s="2">
        <v>711</v>
      </c>
      <c r="B135" s="3" t="s">
        <v>369</v>
      </c>
      <c r="C135" s="23" t="s">
        <v>370</v>
      </c>
      <c r="D135" s="24" t="s">
        <v>229</v>
      </c>
      <c r="E135" s="24" t="s">
        <v>316</v>
      </c>
      <c r="F135" s="39">
        <v>46069</v>
      </c>
      <c r="G135" s="36" t="str">
        <f t="shared" ca="1" si="8"/>
        <v>0 THN 6 BLN</v>
      </c>
      <c r="H135" s="35">
        <v>33194</v>
      </c>
      <c r="I135" s="36" t="str">
        <f t="shared" ca="1" si="9"/>
        <v>35 THN 9 BLN</v>
      </c>
      <c r="J135" s="64" t="s">
        <v>377</v>
      </c>
      <c r="K135" s="59" t="s">
        <v>317</v>
      </c>
      <c r="L135" s="23" t="s">
        <v>313</v>
      </c>
      <c r="M135" s="23" t="s">
        <v>313</v>
      </c>
      <c r="N135" s="51"/>
    </row>
    <row r="136" spans="1:16" x14ac:dyDescent="0.35">
      <c r="A136" s="2">
        <v>712</v>
      </c>
      <c r="B136" s="3" t="s">
        <v>367</v>
      </c>
      <c r="C136" s="23" t="s">
        <v>6</v>
      </c>
      <c r="D136" s="24" t="s">
        <v>366</v>
      </c>
      <c r="E136" s="24" t="s">
        <v>316</v>
      </c>
      <c r="F136" s="39">
        <v>46071</v>
      </c>
      <c r="G136" s="36" t="str">
        <f t="shared" ca="1" si="8"/>
        <v>0 THN 6 BLN</v>
      </c>
      <c r="H136" s="35">
        <v>36022</v>
      </c>
      <c r="I136" s="36" t="str">
        <f t="shared" ca="1" si="9"/>
        <v>28 THN 0 BLN</v>
      </c>
      <c r="J136" s="64" t="s">
        <v>378</v>
      </c>
      <c r="K136" s="59" t="s">
        <v>317</v>
      </c>
      <c r="L136" s="23" t="s">
        <v>313</v>
      </c>
      <c r="M136" s="23" t="s">
        <v>313</v>
      </c>
      <c r="N136" s="51"/>
    </row>
    <row r="137" spans="1:16" x14ac:dyDescent="0.35">
      <c r="A137" s="2">
        <v>713</v>
      </c>
      <c r="B137" s="3" t="s">
        <v>374</v>
      </c>
      <c r="C137" s="23" t="s">
        <v>6</v>
      </c>
      <c r="D137" s="24" t="s">
        <v>13</v>
      </c>
      <c r="E137" s="24" t="s">
        <v>316</v>
      </c>
      <c r="F137" s="39">
        <v>46071</v>
      </c>
      <c r="G137" s="36" t="str">
        <f t="shared" ca="1" si="8"/>
        <v>0 THN 6 BLN</v>
      </c>
      <c r="H137" s="35">
        <v>37501</v>
      </c>
      <c r="I137" s="36" t="str">
        <f t="shared" ca="1" si="9"/>
        <v>23 THN 11 BLN</v>
      </c>
      <c r="J137" s="64" t="s">
        <v>378</v>
      </c>
      <c r="K137" s="59" t="s">
        <v>317</v>
      </c>
      <c r="L137" s="23" t="s">
        <v>313</v>
      </c>
      <c r="M137" s="23" t="s">
        <v>313</v>
      </c>
      <c r="N137" s="51"/>
    </row>
    <row r="138" spans="1:16" x14ac:dyDescent="0.35">
      <c r="A138" s="2">
        <v>714</v>
      </c>
      <c r="B138" s="3" t="s">
        <v>373</v>
      </c>
      <c r="C138" s="23" t="s">
        <v>34</v>
      </c>
      <c r="D138" s="24" t="s">
        <v>372</v>
      </c>
      <c r="E138" s="24" t="s">
        <v>316</v>
      </c>
      <c r="F138" s="39">
        <v>46069</v>
      </c>
      <c r="G138" s="36" t="str">
        <f t="shared" ca="1" si="8"/>
        <v>0 THN 6 BLN</v>
      </c>
      <c r="H138" s="35">
        <v>29132</v>
      </c>
      <c r="I138" s="36" t="str">
        <f t="shared" ca="1" si="9"/>
        <v>46 THN 10 BLN</v>
      </c>
      <c r="J138" s="64" t="s">
        <v>378</v>
      </c>
      <c r="K138" s="59" t="s">
        <v>317</v>
      </c>
      <c r="L138" s="23" t="s">
        <v>313</v>
      </c>
      <c r="M138" s="23" t="s">
        <v>313</v>
      </c>
      <c r="N138" s="51"/>
    </row>
    <row r="139" spans="1:16" x14ac:dyDescent="0.35">
      <c r="A139" s="2">
        <v>715</v>
      </c>
      <c r="B139" s="3" t="s">
        <v>375</v>
      </c>
      <c r="C139" s="23" t="s">
        <v>34</v>
      </c>
      <c r="D139" s="24" t="s">
        <v>293</v>
      </c>
      <c r="E139" s="24" t="s">
        <v>316</v>
      </c>
      <c r="F139" s="39">
        <v>46079</v>
      </c>
      <c r="G139" s="36" t="str">
        <f t="shared" ca="1" si="8"/>
        <v>0 THN 6 BLN</v>
      </c>
      <c r="H139" s="35">
        <v>33040</v>
      </c>
      <c r="I139" s="36" t="str">
        <f t="shared" ca="1" si="9"/>
        <v>36 THN 2 BLN</v>
      </c>
      <c r="J139" s="64" t="s">
        <v>377</v>
      </c>
      <c r="K139" s="59" t="s">
        <v>317</v>
      </c>
      <c r="L139" s="23" t="s">
        <v>313</v>
      </c>
      <c r="M139" s="23" t="s">
        <v>313</v>
      </c>
      <c r="N139" s="51"/>
    </row>
    <row r="140" spans="1:16" x14ac:dyDescent="0.35">
      <c r="A140" s="2">
        <v>716</v>
      </c>
      <c r="B140" s="3" t="s">
        <v>389</v>
      </c>
      <c r="C140" s="23" t="s">
        <v>199</v>
      </c>
      <c r="D140" s="24"/>
      <c r="E140" s="24" t="s">
        <v>316</v>
      </c>
      <c r="F140" s="39">
        <v>46128</v>
      </c>
      <c r="G140" s="36" t="str">
        <f t="shared" ref="G140:G141" ca="1" si="10">DATEDIF(F140,TODAY(),"Y")&amp; " THN "&amp;DATEDIF(F140,TODAY(),"YM")&amp;" BLN"</f>
        <v>0 THN 4 BLN</v>
      </c>
      <c r="H140" s="35">
        <v>30328</v>
      </c>
      <c r="I140" s="36" t="str">
        <f t="shared" ref="I140:I141" ca="1" si="11">DATEDIF(H140,TODAY(),"Y")&amp; " THN "&amp;DATEDIF(H140,TODAY(),"YM")&amp;" BLN"</f>
        <v>43 THN 7 BLN</v>
      </c>
      <c r="J140" s="64" t="s">
        <v>377</v>
      </c>
      <c r="K140" s="59" t="s">
        <v>317</v>
      </c>
      <c r="L140" s="23" t="s">
        <v>313</v>
      </c>
      <c r="M140" s="23" t="s">
        <v>313</v>
      </c>
      <c r="N140" s="51"/>
      <c r="O140" s="70" t="s">
        <v>390</v>
      </c>
      <c r="P140" s="70" t="s">
        <v>391</v>
      </c>
    </row>
    <row r="141" spans="1:16" x14ac:dyDescent="0.35">
      <c r="A141" s="2">
        <v>717</v>
      </c>
      <c r="B141" s="3" t="s">
        <v>385</v>
      </c>
      <c r="C141" s="23" t="s">
        <v>69</v>
      </c>
      <c r="D141" s="24" t="s">
        <v>386</v>
      </c>
      <c r="E141" s="24" t="s">
        <v>316</v>
      </c>
      <c r="F141" s="39">
        <v>46128</v>
      </c>
      <c r="G141" s="36" t="str">
        <f t="shared" ca="1" si="10"/>
        <v>0 THN 4 BLN</v>
      </c>
      <c r="H141" s="35">
        <v>31892</v>
      </c>
      <c r="I141" s="36" t="str">
        <f t="shared" ca="1" si="11"/>
        <v>39 THN 4 BLN</v>
      </c>
      <c r="J141" s="64" t="s">
        <v>377</v>
      </c>
      <c r="K141" s="59" t="s">
        <v>317</v>
      </c>
      <c r="L141" s="23" t="s">
        <v>313</v>
      </c>
      <c r="M141" s="23" t="s">
        <v>313</v>
      </c>
      <c r="N141" s="51"/>
      <c r="O141" s="70" t="s">
        <v>387</v>
      </c>
      <c r="P141" s="71" t="s">
        <v>388</v>
      </c>
    </row>
    <row r="142" spans="1:16" x14ac:dyDescent="0.35">
      <c r="A142" s="2">
        <v>718</v>
      </c>
      <c r="B142" s="3" t="s">
        <v>392</v>
      </c>
      <c r="C142" s="23" t="s">
        <v>34</v>
      </c>
      <c r="D142" s="24" t="s">
        <v>88</v>
      </c>
      <c r="E142" s="24" t="s">
        <v>316</v>
      </c>
      <c r="F142" s="39">
        <v>46146</v>
      </c>
      <c r="G142" s="36" t="str">
        <f t="shared" ref="G142:G143" ca="1" si="12">DATEDIF(F142,TODAY(),"Y")&amp; " THN "&amp;DATEDIF(F142,TODAY(),"YM")&amp;" BLN"</f>
        <v>0 THN 3 BLN</v>
      </c>
      <c r="H142" s="35">
        <v>34835</v>
      </c>
      <c r="I142" s="36" t="str">
        <f t="shared" ref="I142:I143" ca="1" si="13">DATEDIF(H142,TODAY(),"Y")&amp; " THN "&amp;DATEDIF(H142,TODAY(),"YM")&amp;" BLN"</f>
        <v>31 THN 3 BLN</v>
      </c>
      <c r="J142" s="64" t="s">
        <v>377</v>
      </c>
      <c r="K142" s="59" t="s">
        <v>317</v>
      </c>
      <c r="L142" s="23" t="s">
        <v>313</v>
      </c>
      <c r="M142" s="23" t="s">
        <v>313</v>
      </c>
      <c r="N142" s="51"/>
      <c r="O142" s="70" t="s">
        <v>396</v>
      </c>
      <c r="P142" s="70" t="s">
        <v>397</v>
      </c>
    </row>
    <row r="143" spans="1:16" x14ac:dyDescent="0.35">
      <c r="A143" s="2">
        <v>719</v>
      </c>
      <c r="B143" s="3" t="s">
        <v>393</v>
      </c>
      <c r="C143" s="23" t="s">
        <v>34</v>
      </c>
      <c r="D143" s="24" t="s">
        <v>88</v>
      </c>
      <c r="E143" s="24" t="s">
        <v>316</v>
      </c>
      <c r="F143" s="39">
        <v>46149</v>
      </c>
      <c r="G143" s="36" t="str">
        <f t="shared" ca="1" si="12"/>
        <v>0 THN 3 BLN</v>
      </c>
      <c r="H143" s="35">
        <v>36120</v>
      </c>
      <c r="I143" s="36" t="str">
        <f t="shared" ca="1" si="13"/>
        <v>27 THN 9 BLN</v>
      </c>
      <c r="J143" s="64" t="s">
        <v>377</v>
      </c>
      <c r="K143" s="59" t="s">
        <v>317</v>
      </c>
      <c r="L143" s="23" t="s">
        <v>313</v>
      </c>
      <c r="M143" s="23" t="s">
        <v>313</v>
      </c>
      <c r="N143" s="51"/>
      <c r="O143" s="70" t="s">
        <v>395</v>
      </c>
      <c r="P143" s="70" t="s">
        <v>394</v>
      </c>
    </row>
    <row r="144" spans="1:16" x14ac:dyDescent="0.35">
      <c r="A144" s="2">
        <v>720</v>
      </c>
      <c r="B144" s="3" t="s">
        <v>398</v>
      </c>
      <c r="C144" s="23" t="s">
        <v>6</v>
      </c>
      <c r="D144" s="24" t="s">
        <v>149</v>
      </c>
      <c r="E144" s="24" t="s">
        <v>316</v>
      </c>
      <c r="F144" s="39">
        <v>46175</v>
      </c>
      <c r="G144" s="36" t="str">
        <f t="shared" ref="G144" ca="1" si="14">DATEDIF(F144,TODAY(),"Y")&amp; " THN "&amp;DATEDIF(F144,TODAY(),"YM")&amp;" BLN"</f>
        <v>0 THN 2 BLN</v>
      </c>
      <c r="H144" s="35">
        <v>35906</v>
      </c>
      <c r="I144" s="36" t="str">
        <f t="shared" ref="I144" ca="1" si="15">DATEDIF(H144,TODAY(),"Y")&amp; " THN "&amp;DATEDIF(H144,TODAY(),"YM")&amp;" BLN"</f>
        <v>28 THN 4 BLN</v>
      </c>
      <c r="J144" s="64" t="s">
        <v>377</v>
      </c>
      <c r="K144" s="59" t="s">
        <v>317</v>
      </c>
      <c r="L144" s="23" t="s">
        <v>313</v>
      </c>
      <c r="M144" s="23" t="s">
        <v>313</v>
      </c>
      <c r="N144" s="51"/>
      <c r="O144" s="70" t="s">
        <v>400</v>
      </c>
      <c r="P144" s="70" t="s">
        <v>399</v>
      </c>
    </row>
  </sheetData>
  <autoFilter ref="A2:N144" xr:uid="{2A6C5FF2-626E-4BF5-83CB-3F0D15C7A020}">
    <filterColumn colId="4">
      <filters>
        <filter val="AKTIF"/>
      </filters>
    </filterColumn>
  </autoFilter>
  <mergeCells count="7">
    <mergeCell ref="L1:N1"/>
    <mergeCell ref="A1:A2"/>
    <mergeCell ref="B1:B2"/>
    <mergeCell ref="C1:E1"/>
    <mergeCell ref="F1:G1"/>
    <mergeCell ref="K1:K2"/>
    <mergeCell ref="H1:J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044D-A33F-458D-AA63-D5A07F6BC358}">
  <sheetPr filterMode="1"/>
  <dimension ref="A1:S158"/>
  <sheetViews>
    <sheetView tabSelected="1" zoomScale="90" zoomScaleNormal="86" workbookViewId="0">
      <pane xSplit="4" ySplit="2" topLeftCell="K147" activePane="bottomRight" state="frozen"/>
      <selection pane="topRight" activeCell="E1" sqref="E1"/>
      <selection pane="bottomLeft" activeCell="A2" sqref="A2"/>
      <selection pane="bottomRight" activeCell="O158" sqref="O158"/>
    </sheetView>
  </sheetViews>
  <sheetFormatPr defaultRowHeight="14.5" x14ac:dyDescent="0.35"/>
  <cols>
    <col min="1" max="1" width="5.6328125" style="1" customWidth="1"/>
    <col min="2" max="2" width="32.36328125" style="1" customWidth="1"/>
    <col min="3" max="3" width="11.08984375" style="1" bestFit="1" customWidth="1"/>
    <col min="4" max="4" width="15.08984375" style="1" bestFit="1" customWidth="1"/>
    <col min="5" max="5" width="12.453125" style="1" bestFit="1" customWidth="1"/>
    <col min="6" max="6" width="11.54296875" style="5" bestFit="1" customWidth="1"/>
    <col min="7" max="7" width="10.453125" style="5" bestFit="1" customWidth="1"/>
    <col min="8" max="8" width="9.54296875" style="5" bestFit="1" customWidth="1"/>
    <col min="9" max="9" width="11" style="5" bestFit="1" customWidth="1"/>
    <col min="10" max="11" width="11" style="5" customWidth="1"/>
    <col min="12" max="13" width="8.7265625" style="5"/>
    <col min="14" max="14" width="30" style="5" customWidth="1"/>
    <col min="15" max="15" width="10.6328125" style="1" bestFit="1" customWidth="1"/>
    <col min="16" max="16" width="20.81640625" style="1" bestFit="1" customWidth="1"/>
    <col min="17" max="17" width="11.90625" style="1" customWidth="1"/>
    <col min="18" max="18" width="10.6328125" style="1" bestFit="1" customWidth="1"/>
    <col min="19" max="16384" width="8.7265625" style="1"/>
  </cols>
  <sheetData>
    <row r="1" spans="1:16" x14ac:dyDescent="0.35">
      <c r="A1" s="75" t="s">
        <v>2</v>
      </c>
      <c r="B1" s="77" t="s">
        <v>3</v>
      </c>
      <c r="C1" s="79" t="s">
        <v>341</v>
      </c>
      <c r="D1" s="79"/>
      <c r="E1" s="79"/>
      <c r="F1" s="80" t="s">
        <v>81</v>
      </c>
      <c r="G1" s="81"/>
      <c r="H1" s="82" t="s">
        <v>343</v>
      </c>
      <c r="I1" s="83"/>
      <c r="J1" s="84"/>
      <c r="K1" s="85" t="s">
        <v>363</v>
      </c>
      <c r="L1" s="72" t="s">
        <v>344</v>
      </c>
      <c r="M1" s="73"/>
      <c r="N1" s="74"/>
    </row>
    <row r="2" spans="1:16" x14ac:dyDescent="0.35">
      <c r="A2" s="76"/>
      <c r="B2" s="78"/>
      <c r="C2" s="30" t="s">
        <v>0</v>
      </c>
      <c r="D2" s="31" t="s">
        <v>5</v>
      </c>
      <c r="E2" s="32" t="s">
        <v>315</v>
      </c>
      <c r="F2" s="33" t="s">
        <v>4</v>
      </c>
      <c r="G2" s="34" t="s">
        <v>342</v>
      </c>
      <c r="H2" s="45" t="s">
        <v>108</v>
      </c>
      <c r="I2" s="67" t="s">
        <v>109</v>
      </c>
      <c r="J2" s="68" t="s">
        <v>376</v>
      </c>
      <c r="K2" s="86"/>
      <c r="L2" s="49" t="s">
        <v>306</v>
      </c>
      <c r="M2" s="48" t="s">
        <v>307</v>
      </c>
      <c r="N2" s="50" t="s">
        <v>105</v>
      </c>
      <c r="O2" s="1" t="s">
        <v>291</v>
      </c>
      <c r="P2" s="1" t="s">
        <v>434</v>
      </c>
    </row>
    <row r="3" spans="1:16" x14ac:dyDescent="0.35">
      <c r="A3" s="2">
        <v>3</v>
      </c>
      <c r="B3" s="3" t="s">
        <v>61</v>
      </c>
      <c r="C3" s="23" t="s">
        <v>6</v>
      </c>
      <c r="D3" s="24" t="s">
        <v>189</v>
      </c>
      <c r="E3" s="24" t="s">
        <v>316</v>
      </c>
      <c r="F3" s="35">
        <v>35846</v>
      </c>
      <c r="G3" s="36" t="str">
        <f t="shared" ref="G3:G65" ca="1" si="0">DATEDIF(F3,TODAY(),"Y")&amp; " THN "&amp;DATEDIF(F3,TODAY(),"YM")&amp;" BLN"</f>
        <v>28 THN 6 BLN</v>
      </c>
      <c r="H3" s="35">
        <v>27161</v>
      </c>
      <c r="I3" s="36" t="str">
        <f t="shared" ref="I3:I65" ca="1" si="1">DATEDIF(H3,TODAY(),"Y")&amp; " THN "&amp;DATEDIF(H3,TODAY(),"YM")&amp;" BLN"</f>
        <v>52 THN 3 BLN</v>
      </c>
      <c r="J3" s="64" t="s">
        <v>377</v>
      </c>
      <c r="K3" s="59" t="s">
        <v>362</v>
      </c>
      <c r="L3" s="40" t="s">
        <v>1</v>
      </c>
      <c r="M3" s="23" t="s">
        <v>308</v>
      </c>
      <c r="N3" s="36" t="s">
        <v>6</v>
      </c>
    </row>
    <row r="4" spans="1:16" x14ac:dyDescent="0.35">
      <c r="A4" s="2">
        <v>4</v>
      </c>
      <c r="B4" s="3" t="s">
        <v>29</v>
      </c>
      <c r="C4" s="23" t="s">
        <v>25</v>
      </c>
      <c r="D4" s="24"/>
      <c r="E4" s="24" t="s">
        <v>316</v>
      </c>
      <c r="F4" s="35">
        <v>38458</v>
      </c>
      <c r="G4" s="36" t="str">
        <f t="shared" ca="1" si="0"/>
        <v>21 THN 4 BLN</v>
      </c>
      <c r="H4" s="35">
        <v>30050</v>
      </c>
      <c r="I4" s="36" t="str">
        <f t="shared" ca="1" si="1"/>
        <v>44 THN 4 BLN</v>
      </c>
      <c r="J4" s="64" t="s">
        <v>377</v>
      </c>
      <c r="K4" s="59" t="s">
        <v>362</v>
      </c>
      <c r="L4" s="40" t="s">
        <v>1</v>
      </c>
      <c r="M4" s="23" t="s">
        <v>309</v>
      </c>
      <c r="N4" s="36" t="s">
        <v>312</v>
      </c>
    </row>
    <row r="5" spans="1:16" x14ac:dyDescent="0.35">
      <c r="A5" s="2">
        <v>5</v>
      </c>
      <c r="B5" s="3" t="s">
        <v>22</v>
      </c>
      <c r="C5" s="23" t="s">
        <v>82</v>
      </c>
      <c r="D5" s="24"/>
      <c r="E5" s="24" t="s">
        <v>316</v>
      </c>
      <c r="F5" s="35">
        <v>38568</v>
      </c>
      <c r="G5" s="36" t="str">
        <f t="shared" ca="1" si="0"/>
        <v>21 THN 0 BLN</v>
      </c>
      <c r="H5" s="35">
        <v>26169</v>
      </c>
      <c r="I5" s="36" t="str">
        <f t="shared" ca="1" si="1"/>
        <v>55 THN 0 BLN</v>
      </c>
      <c r="J5" s="64" t="s">
        <v>377</v>
      </c>
      <c r="K5" s="59" t="s">
        <v>362</v>
      </c>
      <c r="L5" s="40" t="s">
        <v>1</v>
      </c>
      <c r="M5" s="23" t="s">
        <v>309</v>
      </c>
      <c r="N5" s="36" t="s">
        <v>109</v>
      </c>
    </row>
    <row r="6" spans="1:16" x14ac:dyDescent="0.35">
      <c r="A6" s="2">
        <v>7</v>
      </c>
      <c r="B6" s="3" t="s">
        <v>21</v>
      </c>
      <c r="C6" s="23" t="s">
        <v>6</v>
      </c>
      <c r="D6" s="24"/>
      <c r="E6" s="24" t="s">
        <v>316</v>
      </c>
      <c r="F6" s="35">
        <v>41276</v>
      </c>
      <c r="G6" s="36" t="str">
        <f t="shared" ca="1" si="0"/>
        <v>13 THN 7 BLN</v>
      </c>
      <c r="H6" s="35">
        <v>32084</v>
      </c>
      <c r="I6" s="36" t="str">
        <f t="shared" ca="1" si="1"/>
        <v>38 THN 9 BLN</v>
      </c>
      <c r="J6" s="64" t="s">
        <v>377</v>
      </c>
      <c r="K6" s="59" t="s">
        <v>362</v>
      </c>
      <c r="L6" s="40" t="s">
        <v>1</v>
      </c>
      <c r="M6" s="23" t="s">
        <v>1</v>
      </c>
      <c r="N6" s="36" t="s">
        <v>310</v>
      </c>
    </row>
    <row r="7" spans="1:16" x14ac:dyDescent="0.35">
      <c r="A7" s="2">
        <v>10</v>
      </c>
      <c r="B7" s="3" t="s">
        <v>190</v>
      </c>
      <c r="C7" s="23" t="s">
        <v>77</v>
      </c>
      <c r="D7" s="24" t="s">
        <v>191</v>
      </c>
      <c r="E7" s="24" t="s">
        <v>316</v>
      </c>
      <c r="F7" s="35">
        <v>40463</v>
      </c>
      <c r="G7" s="36" t="str">
        <f t="shared" ca="1" si="0"/>
        <v>15 THN 10 BLN</v>
      </c>
      <c r="H7" s="35">
        <v>28361</v>
      </c>
      <c r="I7" s="36" t="str">
        <f t="shared" ca="1" si="1"/>
        <v>49 THN 0 BLN</v>
      </c>
      <c r="J7" s="64" t="s">
        <v>377</v>
      </c>
      <c r="K7" s="59" t="s">
        <v>362</v>
      </c>
      <c r="L7" s="40" t="s">
        <v>1</v>
      </c>
      <c r="M7" s="23" t="s">
        <v>309</v>
      </c>
      <c r="N7" s="36" t="s">
        <v>311</v>
      </c>
    </row>
    <row r="8" spans="1:16" x14ac:dyDescent="0.35">
      <c r="A8" s="2">
        <v>11</v>
      </c>
      <c r="B8" s="3" t="s">
        <v>32</v>
      </c>
      <c r="C8" s="23" t="s">
        <v>25</v>
      </c>
      <c r="D8" s="24"/>
      <c r="E8" s="24" t="s">
        <v>316</v>
      </c>
      <c r="F8" s="35">
        <v>41918</v>
      </c>
      <c r="G8" s="36" t="str">
        <f t="shared" ca="1" si="0"/>
        <v>11 THN 10 BLN</v>
      </c>
      <c r="H8" s="35">
        <v>31373</v>
      </c>
      <c r="I8" s="36" t="str">
        <f t="shared" ca="1" si="1"/>
        <v>40 THN 9 BLN</v>
      </c>
      <c r="J8" s="64" t="s">
        <v>377</v>
      </c>
      <c r="K8" s="59" t="s">
        <v>362</v>
      </c>
      <c r="L8" s="40" t="s">
        <v>1</v>
      </c>
      <c r="M8" s="23" t="s">
        <v>309</v>
      </c>
      <c r="N8" s="36" t="s">
        <v>312</v>
      </c>
    </row>
    <row r="9" spans="1:16" x14ac:dyDescent="0.35">
      <c r="A9" s="2">
        <v>12</v>
      </c>
      <c r="B9" s="3" t="s">
        <v>19</v>
      </c>
      <c r="C9" s="23" t="s">
        <v>192</v>
      </c>
      <c r="D9" s="24" t="s">
        <v>77</v>
      </c>
      <c r="E9" s="24" t="s">
        <v>316</v>
      </c>
      <c r="F9" s="35">
        <v>41288</v>
      </c>
      <c r="G9" s="36" t="str">
        <f t="shared" ca="1" si="0"/>
        <v>13 THN 7 BLN</v>
      </c>
      <c r="H9" s="35">
        <v>30153</v>
      </c>
      <c r="I9" s="36" t="str">
        <f t="shared" ca="1" si="1"/>
        <v>44 THN 1 BLN</v>
      </c>
      <c r="J9" s="64" t="s">
        <v>377</v>
      </c>
      <c r="K9" s="59" t="s">
        <v>362</v>
      </c>
      <c r="L9" s="40" t="s">
        <v>1</v>
      </c>
      <c r="M9" s="23" t="s">
        <v>309</v>
      </c>
      <c r="N9" s="36" t="s">
        <v>311</v>
      </c>
    </row>
    <row r="10" spans="1:16" x14ac:dyDescent="0.35">
      <c r="A10" s="2">
        <v>17</v>
      </c>
      <c r="B10" s="3" t="s">
        <v>47</v>
      </c>
      <c r="C10" s="23" t="s">
        <v>34</v>
      </c>
      <c r="D10" s="24" t="s">
        <v>193</v>
      </c>
      <c r="E10" s="24" t="s">
        <v>316</v>
      </c>
      <c r="F10" s="35">
        <v>41539</v>
      </c>
      <c r="G10" s="36" t="str">
        <f t="shared" ca="1" si="0"/>
        <v>12 THN 11 BLN</v>
      </c>
      <c r="H10" s="35">
        <v>33806</v>
      </c>
      <c r="I10" s="36" t="str">
        <f t="shared" ca="1" si="1"/>
        <v>34 THN 1 BLN</v>
      </c>
      <c r="J10" s="64" t="s">
        <v>377</v>
      </c>
      <c r="K10" s="59" t="s">
        <v>362</v>
      </c>
      <c r="L10" s="40" t="s">
        <v>1</v>
      </c>
      <c r="M10" s="23" t="s">
        <v>309</v>
      </c>
      <c r="N10" s="36" t="s">
        <v>312</v>
      </c>
    </row>
    <row r="11" spans="1:16" x14ac:dyDescent="0.35">
      <c r="A11" s="2">
        <v>18</v>
      </c>
      <c r="B11" s="3" t="s">
        <v>31</v>
      </c>
      <c r="C11" s="23" t="s">
        <v>25</v>
      </c>
      <c r="D11" s="24"/>
      <c r="E11" s="24" t="s">
        <v>316</v>
      </c>
      <c r="F11" s="35">
        <v>38605</v>
      </c>
      <c r="G11" s="36" t="str">
        <f t="shared" ca="1" si="0"/>
        <v>20 THN 11 BLN</v>
      </c>
      <c r="H11" s="35">
        <v>30630</v>
      </c>
      <c r="I11" s="36" t="str">
        <f t="shared" ca="1" si="1"/>
        <v>42 THN 9 BLN</v>
      </c>
      <c r="J11" s="64" t="s">
        <v>377</v>
      </c>
      <c r="K11" s="59" t="s">
        <v>362</v>
      </c>
      <c r="L11" s="40" t="s">
        <v>1</v>
      </c>
      <c r="M11" s="23" t="s">
        <v>309</v>
      </c>
      <c r="N11" s="36" t="s">
        <v>312</v>
      </c>
    </row>
    <row r="12" spans="1:16" x14ac:dyDescent="0.35">
      <c r="A12" s="2">
        <v>23</v>
      </c>
      <c r="B12" s="3" t="s">
        <v>40</v>
      </c>
      <c r="C12" s="23" t="s">
        <v>77</v>
      </c>
      <c r="D12" s="24" t="s">
        <v>191</v>
      </c>
      <c r="E12" s="24" t="s">
        <v>316</v>
      </c>
      <c r="F12" s="35">
        <v>36661</v>
      </c>
      <c r="G12" s="36" t="str">
        <f t="shared" ca="1" si="0"/>
        <v>26 THN 3 BLN</v>
      </c>
      <c r="H12" s="35">
        <v>27121</v>
      </c>
      <c r="I12" s="36" t="str">
        <f t="shared" ca="1" si="1"/>
        <v>52 THN 4 BLN</v>
      </c>
      <c r="J12" s="64" t="s">
        <v>378</v>
      </c>
      <c r="K12" s="59" t="s">
        <v>362</v>
      </c>
      <c r="L12" s="40" t="s">
        <v>1</v>
      </c>
      <c r="M12" s="23" t="s">
        <v>309</v>
      </c>
      <c r="N12" s="36" t="s">
        <v>109</v>
      </c>
    </row>
    <row r="13" spans="1:16" x14ac:dyDescent="0.35">
      <c r="A13" s="2">
        <v>25</v>
      </c>
      <c r="B13" s="3" t="s">
        <v>35</v>
      </c>
      <c r="C13" s="23" t="s">
        <v>6</v>
      </c>
      <c r="D13" s="24"/>
      <c r="E13" s="24" t="s">
        <v>316</v>
      </c>
      <c r="F13" s="35">
        <v>38544</v>
      </c>
      <c r="G13" s="36" t="str">
        <f t="shared" ca="1" si="0"/>
        <v>21 THN 1 BLN</v>
      </c>
      <c r="H13" s="35">
        <v>32686</v>
      </c>
      <c r="I13" s="36" t="str">
        <f t="shared" ca="1" si="1"/>
        <v>37 THN 2 BLN</v>
      </c>
      <c r="J13" s="64" t="s">
        <v>378</v>
      </c>
      <c r="K13" s="59" t="s">
        <v>362</v>
      </c>
      <c r="L13" s="40" t="s">
        <v>1</v>
      </c>
      <c r="M13" s="23" t="s">
        <v>308</v>
      </c>
      <c r="N13" s="36" t="s">
        <v>6</v>
      </c>
    </row>
    <row r="14" spans="1:16" x14ac:dyDescent="0.35">
      <c r="A14" s="2">
        <v>27</v>
      </c>
      <c r="B14" s="3" t="s">
        <v>41</v>
      </c>
      <c r="C14" s="23" t="s">
        <v>34</v>
      </c>
      <c r="D14" s="24" t="s">
        <v>194</v>
      </c>
      <c r="E14" s="24" t="s">
        <v>316</v>
      </c>
      <c r="F14" s="35">
        <v>39756</v>
      </c>
      <c r="G14" s="36" t="str">
        <f t="shared" ca="1" si="0"/>
        <v>17 THN 9 BLN</v>
      </c>
      <c r="H14" s="35">
        <v>27968</v>
      </c>
      <c r="I14" s="36" t="str">
        <f t="shared" ca="1" si="1"/>
        <v>50 THN 1 BLN</v>
      </c>
      <c r="J14" s="64" t="s">
        <v>378</v>
      </c>
      <c r="K14" s="59" t="s">
        <v>362</v>
      </c>
      <c r="L14" s="40" t="s">
        <v>1</v>
      </c>
      <c r="M14" s="23" t="s">
        <v>313</v>
      </c>
      <c r="N14" s="36" t="s">
        <v>314</v>
      </c>
    </row>
    <row r="15" spans="1:16" x14ac:dyDescent="0.35">
      <c r="A15" s="2">
        <v>28</v>
      </c>
      <c r="B15" s="3" t="s">
        <v>86</v>
      </c>
      <c r="C15" s="23" t="s">
        <v>34</v>
      </c>
      <c r="D15" s="24" t="s">
        <v>194</v>
      </c>
      <c r="E15" s="24" t="s">
        <v>316</v>
      </c>
      <c r="F15" s="35">
        <v>40551</v>
      </c>
      <c r="G15" s="36" t="str">
        <f t="shared" ca="1" si="0"/>
        <v>15 THN 7 BLN</v>
      </c>
      <c r="H15" s="35">
        <v>33086</v>
      </c>
      <c r="I15" s="36" t="str">
        <f t="shared" ca="1" si="1"/>
        <v>36 THN 0 BLN</v>
      </c>
      <c r="J15" s="64" t="s">
        <v>378</v>
      </c>
      <c r="K15" s="59" t="s">
        <v>362</v>
      </c>
      <c r="L15" s="40" t="s">
        <v>1</v>
      </c>
      <c r="M15" s="23" t="s">
        <v>313</v>
      </c>
      <c r="N15" s="36"/>
    </row>
    <row r="16" spans="1:16" x14ac:dyDescent="0.35">
      <c r="A16" s="2">
        <v>33</v>
      </c>
      <c r="B16" s="3" t="s">
        <v>71</v>
      </c>
      <c r="C16" s="23" t="s">
        <v>69</v>
      </c>
      <c r="D16" s="24"/>
      <c r="E16" s="24" t="s">
        <v>316</v>
      </c>
      <c r="F16" s="35">
        <v>41862</v>
      </c>
      <c r="G16" s="36" t="str">
        <f t="shared" ca="1" si="0"/>
        <v>12 THN 0 BLN</v>
      </c>
      <c r="H16" s="35">
        <v>25423</v>
      </c>
      <c r="I16" s="36" t="str">
        <f t="shared" ca="1" si="1"/>
        <v>57 THN 0 BLN</v>
      </c>
      <c r="J16" s="64" t="s">
        <v>377</v>
      </c>
      <c r="K16" s="59" t="s">
        <v>362</v>
      </c>
      <c r="L16" s="40" t="s">
        <v>1</v>
      </c>
      <c r="M16" s="23" t="s">
        <v>309</v>
      </c>
      <c r="N16" s="36" t="s">
        <v>109</v>
      </c>
    </row>
    <row r="17" spans="1:16" x14ac:dyDescent="0.35">
      <c r="A17" s="2">
        <v>39</v>
      </c>
      <c r="B17" s="3" t="s">
        <v>42</v>
      </c>
      <c r="C17" s="23" t="s">
        <v>192</v>
      </c>
      <c r="D17" s="24"/>
      <c r="E17" s="24" t="s">
        <v>316</v>
      </c>
      <c r="F17" s="35">
        <v>42215</v>
      </c>
      <c r="G17" s="36" t="str">
        <f t="shared" ca="1" si="0"/>
        <v>11 THN 0 BLN</v>
      </c>
      <c r="H17" s="35">
        <v>26055</v>
      </c>
      <c r="I17" s="36" t="str">
        <f t="shared" ca="1" si="1"/>
        <v>55 THN 3 BLN</v>
      </c>
      <c r="J17" s="64" t="s">
        <v>378</v>
      </c>
      <c r="K17" s="59" t="s">
        <v>362</v>
      </c>
      <c r="L17" s="40" t="s">
        <v>1</v>
      </c>
      <c r="M17" s="23" t="s">
        <v>309</v>
      </c>
      <c r="N17" s="36" t="s">
        <v>109</v>
      </c>
    </row>
    <row r="18" spans="1:16" x14ac:dyDescent="0.35">
      <c r="A18" s="2">
        <v>40</v>
      </c>
      <c r="B18" s="3" t="s">
        <v>195</v>
      </c>
      <c r="C18" s="23" t="s">
        <v>88</v>
      </c>
      <c r="D18" s="24"/>
      <c r="E18" s="24" t="s">
        <v>316</v>
      </c>
      <c r="F18" s="35">
        <v>41524</v>
      </c>
      <c r="G18" s="36" t="str">
        <f t="shared" ca="1" si="0"/>
        <v>12 THN 11 BLN</v>
      </c>
      <c r="H18" s="35">
        <v>35382</v>
      </c>
      <c r="I18" s="36" t="str">
        <f t="shared" ca="1" si="1"/>
        <v>29 THN 9 BLN</v>
      </c>
      <c r="J18" s="64" t="s">
        <v>378</v>
      </c>
      <c r="K18" s="59" t="s">
        <v>362</v>
      </c>
      <c r="L18" s="40" t="s">
        <v>1</v>
      </c>
      <c r="M18" s="23" t="s">
        <v>313</v>
      </c>
      <c r="N18" s="36"/>
    </row>
    <row r="19" spans="1:16" hidden="1" x14ac:dyDescent="0.35">
      <c r="A19" s="2">
        <v>45</v>
      </c>
      <c r="B19" s="3" t="s">
        <v>37</v>
      </c>
      <c r="C19" s="23" t="s">
        <v>34</v>
      </c>
      <c r="D19" s="24"/>
      <c r="E19" s="24" t="s">
        <v>291</v>
      </c>
      <c r="F19" s="35">
        <v>41866</v>
      </c>
      <c r="G19" s="36" t="str">
        <f t="shared" ca="1" si="0"/>
        <v>12 THN 0 BLN</v>
      </c>
      <c r="H19" s="35">
        <v>33396</v>
      </c>
      <c r="I19" s="36" t="str">
        <f t="shared" ca="1" si="1"/>
        <v>35 THN 2 BLN</v>
      </c>
      <c r="J19" s="64" t="s">
        <v>377</v>
      </c>
      <c r="K19" s="59" t="s">
        <v>362</v>
      </c>
      <c r="L19" s="40" t="s">
        <v>1</v>
      </c>
      <c r="M19" s="23" t="s">
        <v>309</v>
      </c>
      <c r="N19" s="36" t="s">
        <v>312</v>
      </c>
      <c r="O19" s="7">
        <v>46111</v>
      </c>
      <c r="P19" s="1" t="s">
        <v>379</v>
      </c>
    </row>
    <row r="20" spans="1:16" x14ac:dyDescent="0.35">
      <c r="A20" s="2">
        <v>65</v>
      </c>
      <c r="B20" s="3" t="s">
        <v>7</v>
      </c>
      <c r="C20" s="23" t="s">
        <v>6</v>
      </c>
      <c r="D20" s="24"/>
      <c r="E20" s="24" t="s">
        <v>316</v>
      </c>
      <c r="F20" s="35">
        <v>42044</v>
      </c>
      <c r="G20" s="36" t="str">
        <f t="shared" ca="1" si="0"/>
        <v>11 THN 6 BLN</v>
      </c>
      <c r="H20" s="35">
        <v>35212</v>
      </c>
      <c r="I20" s="36" t="str">
        <f t="shared" ca="1" si="1"/>
        <v>30 THN 3 BLN</v>
      </c>
      <c r="J20" s="64" t="s">
        <v>378</v>
      </c>
      <c r="K20" s="59" t="s">
        <v>362</v>
      </c>
      <c r="L20" s="40" t="s">
        <v>1</v>
      </c>
      <c r="M20" s="23" t="s">
        <v>308</v>
      </c>
      <c r="N20" s="36" t="s">
        <v>6</v>
      </c>
    </row>
    <row r="21" spans="1:16" x14ac:dyDescent="0.35">
      <c r="A21" s="2">
        <v>82</v>
      </c>
      <c r="B21" s="3" t="s">
        <v>38</v>
      </c>
      <c r="C21" s="23" t="s">
        <v>88</v>
      </c>
      <c r="D21" s="24"/>
      <c r="E21" s="24" t="s">
        <v>316</v>
      </c>
      <c r="F21" s="35">
        <v>42212</v>
      </c>
      <c r="G21" s="36" t="str">
        <f t="shared" ca="1" si="0"/>
        <v>11 THN 1 BLN</v>
      </c>
      <c r="H21" s="35">
        <v>34624</v>
      </c>
      <c r="I21" s="36" t="str">
        <f t="shared" ca="1" si="1"/>
        <v>31 THN 10 BLN</v>
      </c>
      <c r="J21" s="64" t="s">
        <v>378</v>
      </c>
      <c r="K21" s="59" t="s">
        <v>362</v>
      </c>
      <c r="L21" s="40" t="s">
        <v>1</v>
      </c>
      <c r="M21" s="23" t="s">
        <v>313</v>
      </c>
      <c r="N21" s="36"/>
    </row>
    <row r="22" spans="1:16" x14ac:dyDescent="0.35">
      <c r="A22" s="2">
        <v>101</v>
      </c>
      <c r="B22" s="3" t="s">
        <v>56</v>
      </c>
      <c r="C22" s="23" t="s">
        <v>88</v>
      </c>
      <c r="D22" s="24"/>
      <c r="E22" s="24" t="s">
        <v>316</v>
      </c>
      <c r="F22" s="35">
        <v>42522</v>
      </c>
      <c r="G22" s="36" t="str">
        <f t="shared" ca="1" si="0"/>
        <v>10 THN 2 BLN</v>
      </c>
      <c r="H22" s="35">
        <v>29395</v>
      </c>
      <c r="I22" s="36" t="str">
        <f t="shared" ca="1" si="1"/>
        <v>46 THN 2 BLN</v>
      </c>
      <c r="J22" s="64" t="s">
        <v>378</v>
      </c>
      <c r="K22" s="59" t="s">
        <v>362</v>
      </c>
      <c r="L22" s="40" t="s">
        <v>1</v>
      </c>
      <c r="M22" s="23" t="s">
        <v>313</v>
      </c>
      <c r="N22" s="36"/>
    </row>
    <row r="23" spans="1:16" x14ac:dyDescent="0.35">
      <c r="A23" s="2">
        <v>105</v>
      </c>
      <c r="B23" s="3" t="s">
        <v>11</v>
      </c>
      <c r="C23" s="23" t="s">
        <v>6</v>
      </c>
      <c r="D23" s="24" t="s">
        <v>192</v>
      </c>
      <c r="E23" s="24" t="s">
        <v>316</v>
      </c>
      <c r="F23" s="35">
        <v>42339</v>
      </c>
      <c r="G23" s="36" t="str">
        <f t="shared" ca="1" si="0"/>
        <v>10 THN 8 BLN</v>
      </c>
      <c r="H23" s="35">
        <v>31567</v>
      </c>
      <c r="I23" s="36" t="str">
        <f t="shared" ca="1" si="1"/>
        <v>40 THN 2 BLN</v>
      </c>
      <c r="J23" s="64" t="s">
        <v>377</v>
      </c>
      <c r="K23" s="59" t="s">
        <v>362</v>
      </c>
      <c r="L23" s="40" t="s">
        <v>1</v>
      </c>
      <c r="M23" s="23" t="s">
        <v>308</v>
      </c>
      <c r="N23" s="36" t="s">
        <v>6</v>
      </c>
    </row>
    <row r="24" spans="1:16" x14ac:dyDescent="0.35">
      <c r="A24" s="2">
        <v>123</v>
      </c>
      <c r="B24" s="3" t="s">
        <v>17</v>
      </c>
      <c r="C24" s="23" t="s">
        <v>6</v>
      </c>
      <c r="D24" s="24"/>
      <c r="E24" s="24" t="s">
        <v>316</v>
      </c>
      <c r="F24" s="35">
        <v>42436</v>
      </c>
      <c r="G24" s="36" t="str">
        <f t="shared" ca="1" si="0"/>
        <v>10 THN 5 BLN</v>
      </c>
      <c r="H24" s="35">
        <v>34314</v>
      </c>
      <c r="I24" s="36" t="str">
        <f t="shared" ca="1" si="1"/>
        <v>32 THN 8 BLN</v>
      </c>
      <c r="J24" s="64" t="s">
        <v>377</v>
      </c>
      <c r="K24" s="59" t="s">
        <v>317</v>
      </c>
      <c r="L24" s="40" t="s">
        <v>1</v>
      </c>
      <c r="M24" s="23" t="s">
        <v>308</v>
      </c>
      <c r="N24" s="36" t="s">
        <v>6</v>
      </c>
    </row>
    <row r="25" spans="1:16" x14ac:dyDescent="0.35">
      <c r="A25" s="2">
        <v>124</v>
      </c>
      <c r="B25" s="3" t="s">
        <v>196</v>
      </c>
      <c r="C25" s="23" t="s">
        <v>6</v>
      </c>
      <c r="D25" s="24" t="s">
        <v>36</v>
      </c>
      <c r="E25" s="24" t="s">
        <v>316</v>
      </c>
      <c r="F25" s="35">
        <v>42462</v>
      </c>
      <c r="G25" s="36" t="str">
        <f t="shared" ca="1" si="0"/>
        <v>10 THN 4 BLN</v>
      </c>
      <c r="H25" s="35">
        <v>34799</v>
      </c>
      <c r="I25" s="36" t="str">
        <f t="shared" ca="1" si="1"/>
        <v>31 THN 4 BLN</v>
      </c>
      <c r="J25" s="64" t="s">
        <v>377</v>
      </c>
      <c r="K25" s="59" t="s">
        <v>317</v>
      </c>
      <c r="L25" s="40" t="s">
        <v>1</v>
      </c>
      <c r="M25" s="23" t="s">
        <v>308</v>
      </c>
      <c r="N25" s="36" t="s">
        <v>6</v>
      </c>
    </row>
    <row r="26" spans="1:16" x14ac:dyDescent="0.35">
      <c r="A26" s="2">
        <v>125</v>
      </c>
      <c r="B26" s="3" t="s">
        <v>26</v>
      </c>
      <c r="C26" s="23" t="s">
        <v>6</v>
      </c>
      <c r="D26" s="24"/>
      <c r="E26" s="24" t="s">
        <v>316</v>
      </c>
      <c r="F26" s="35">
        <v>42462</v>
      </c>
      <c r="G26" s="36" t="str">
        <f t="shared" ca="1" si="0"/>
        <v>10 THN 4 BLN</v>
      </c>
      <c r="H26" s="35">
        <v>29989</v>
      </c>
      <c r="I26" s="36" t="str">
        <f t="shared" ca="1" si="1"/>
        <v>44 THN 6 BLN</v>
      </c>
      <c r="J26" s="64" t="s">
        <v>377</v>
      </c>
      <c r="K26" s="59" t="s">
        <v>317</v>
      </c>
      <c r="L26" s="40" t="s">
        <v>1</v>
      </c>
      <c r="M26" s="23" t="s">
        <v>308</v>
      </c>
      <c r="N26" s="36" t="s">
        <v>6</v>
      </c>
    </row>
    <row r="27" spans="1:16" x14ac:dyDescent="0.35">
      <c r="A27" s="2">
        <v>132</v>
      </c>
      <c r="B27" s="3" t="s">
        <v>79</v>
      </c>
      <c r="C27" s="23" t="s">
        <v>77</v>
      </c>
      <c r="D27" s="24"/>
      <c r="E27" s="24" t="s">
        <v>316</v>
      </c>
      <c r="F27" s="35">
        <v>42514</v>
      </c>
      <c r="G27" s="36" t="str">
        <f t="shared" ca="1" si="0"/>
        <v>10 THN 3 BLN</v>
      </c>
      <c r="H27" s="35">
        <v>25334</v>
      </c>
      <c r="I27" s="36" t="str">
        <f t="shared" ca="1" si="1"/>
        <v>57 THN 3 BLN</v>
      </c>
      <c r="J27" s="64" t="s">
        <v>377</v>
      </c>
      <c r="K27" s="59" t="s">
        <v>317</v>
      </c>
      <c r="L27" s="40" t="s">
        <v>1</v>
      </c>
      <c r="M27" s="23" t="s">
        <v>309</v>
      </c>
      <c r="N27" s="36" t="s">
        <v>109</v>
      </c>
    </row>
    <row r="28" spans="1:16" x14ac:dyDescent="0.35">
      <c r="A28" s="2">
        <v>146</v>
      </c>
      <c r="B28" s="3" t="s">
        <v>10</v>
      </c>
      <c r="C28" s="23" t="s">
        <v>6</v>
      </c>
      <c r="D28" s="24"/>
      <c r="E28" s="24" t="s">
        <v>316</v>
      </c>
      <c r="F28" s="35">
        <v>42675</v>
      </c>
      <c r="G28" s="36" t="str">
        <f t="shared" ca="1" si="0"/>
        <v>9 THN 9 BLN</v>
      </c>
      <c r="H28" s="35">
        <v>35818</v>
      </c>
      <c r="I28" s="36" t="str">
        <f t="shared" ca="1" si="1"/>
        <v>28 THN 7 BLN</v>
      </c>
      <c r="J28" s="64" t="s">
        <v>378</v>
      </c>
      <c r="K28" s="59" t="s">
        <v>317</v>
      </c>
      <c r="L28" s="40" t="s">
        <v>1</v>
      </c>
      <c r="M28" s="23" t="s">
        <v>308</v>
      </c>
      <c r="N28" s="36" t="s">
        <v>6</v>
      </c>
    </row>
    <row r="29" spans="1:16" x14ac:dyDescent="0.35">
      <c r="A29" s="2">
        <v>154</v>
      </c>
      <c r="B29" s="3" t="s">
        <v>44</v>
      </c>
      <c r="C29" s="23" t="s">
        <v>34</v>
      </c>
      <c r="D29" s="24" t="s">
        <v>197</v>
      </c>
      <c r="E29" s="24" t="s">
        <v>316</v>
      </c>
      <c r="F29" s="35">
        <v>42752</v>
      </c>
      <c r="G29" s="36" t="str">
        <f t="shared" ca="1" si="0"/>
        <v>9 THN 7 BLN</v>
      </c>
      <c r="H29" s="35">
        <v>31111</v>
      </c>
      <c r="I29" s="36" t="str">
        <f t="shared" ca="1" si="1"/>
        <v>41 THN 5 BLN</v>
      </c>
      <c r="J29" s="64" t="s">
        <v>378</v>
      </c>
      <c r="K29" s="59" t="s">
        <v>317</v>
      </c>
      <c r="L29" s="40" t="s">
        <v>1</v>
      </c>
      <c r="M29" s="23" t="s">
        <v>313</v>
      </c>
      <c r="N29" s="36"/>
    </row>
    <row r="30" spans="1:16" x14ac:dyDescent="0.35">
      <c r="A30" s="2">
        <v>157</v>
      </c>
      <c r="B30" s="3" t="s">
        <v>45</v>
      </c>
      <c r="C30" s="23" t="s">
        <v>34</v>
      </c>
      <c r="D30" s="24" t="s">
        <v>198</v>
      </c>
      <c r="E30" s="24" t="s">
        <v>316</v>
      </c>
      <c r="F30" s="35">
        <v>42753</v>
      </c>
      <c r="G30" s="36" t="str">
        <f t="shared" ca="1" si="0"/>
        <v>9 THN 7 BLN</v>
      </c>
      <c r="H30" s="35">
        <v>31672</v>
      </c>
      <c r="I30" s="36" t="str">
        <f t="shared" ca="1" si="1"/>
        <v>39 THN 11 BLN</v>
      </c>
      <c r="J30" s="64" t="s">
        <v>378</v>
      </c>
      <c r="K30" s="59" t="s">
        <v>317</v>
      </c>
      <c r="L30" s="40" t="s">
        <v>1</v>
      </c>
      <c r="M30" s="23" t="s">
        <v>313</v>
      </c>
      <c r="N30" s="36"/>
    </row>
    <row r="31" spans="1:16" x14ac:dyDescent="0.35">
      <c r="A31" s="2">
        <v>171</v>
      </c>
      <c r="B31" s="3" t="s">
        <v>39</v>
      </c>
      <c r="C31" s="23" t="s">
        <v>34</v>
      </c>
      <c r="D31" s="24" t="s">
        <v>198</v>
      </c>
      <c r="E31" s="24" t="s">
        <v>316</v>
      </c>
      <c r="F31" s="35">
        <v>42789</v>
      </c>
      <c r="G31" s="36" t="str">
        <f t="shared" ca="1" si="0"/>
        <v>9 THN 6 BLN</v>
      </c>
      <c r="H31" s="35">
        <v>32863</v>
      </c>
      <c r="I31" s="36" t="str">
        <f t="shared" ca="1" si="1"/>
        <v>36 THN 8 BLN</v>
      </c>
      <c r="J31" s="64" t="s">
        <v>378</v>
      </c>
      <c r="K31" s="59" t="s">
        <v>317</v>
      </c>
      <c r="L31" s="40" t="s">
        <v>1</v>
      </c>
      <c r="M31" s="23" t="s">
        <v>313</v>
      </c>
      <c r="N31" s="36"/>
    </row>
    <row r="32" spans="1:16" x14ac:dyDescent="0.35">
      <c r="A32" s="2">
        <v>202</v>
      </c>
      <c r="B32" s="3" t="s">
        <v>50</v>
      </c>
      <c r="C32" s="23" t="s">
        <v>34</v>
      </c>
      <c r="D32" s="24" t="s">
        <v>193</v>
      </c>
      <c r="E32" s="24" t="s">
        <v>316</v>
      </c>
      <c r="F32" s="35">
        <v>42903</v>
      </c>
      <c r="G32" s="36" t="str">
        <f t="shared" ca="1" si="0"/>
        <v>9 THN 2 BLN</v>
      </c>
      <c r="H32" s="35">
        <v>34213</v>
      </c>
      <c r="I32" s="36" t="str">
        <f t="shared" ca="1" si="1"/>
        <v>32 THN 11 BLN</v>
      </c>
      <c r="J32" s="64" t="s">
        <v>377</v>
      </c>
      <c r="K32" s="59" t="s">
        <v>317</v>
      </c>
      <c r="L32" s="40" t="s">
        <v>1</v>
      </c>
      <c r="M32" s="23" t="s">
        <v>309</v>
      </c>
      <c r="N32" s="36" t="s">
        <v>312</v>
      </c>
    </row>
    <row r="33" spans="1:14" x14ac:dyDescent="0.35">
      <c r="A33" s="2">
        <v>205</v>
      </c>
      <c r="B33" s="3" t="s">
        <v>64</v>
      </c>
      <c r="C33" s="23" t="s">
        <v>6</v>
      </c>
      <c r="D33" s="24" t="s">
        <v>189</v>
      </c>
      <c r="E33" s="24" t="s">
        <v>316</v>
      </c>
      <c r="F33" s="35">
        <v>42954</v>
      </c>
      <c r="G33" s="36" t="str">
        <f t="shared" ca="1" si="0"/>
        <v>9 THN 0 BLN</v>
      </c>
      <c r="H33" s="35">
        <v>32608</v>
      </c>
      <c r="I33" s="36" t="str">
        <f t="shared" ca="1" si="1"/>
        <v>37 THN 4 BLN</v>
      </c>
      <c r="J33" s="64" t="s">
        <v>377</v>
      </c>
      <c r="K33" s="59" t="s">
        <v>317</v>
      </c>
      <c r="L33" s="40" t="s">
        <v>1</v>
      </c>
      <c r="M33" s="23" t="s">
        <v>309</v>
      </c>
      <c r="N33" s="36" t="s">
        <v>312</v>
      </c>
    </row>
    <row r="34" spans="1:14" x14ac:dyDescent="0.35">
      <c r="A34" s="2">
        <v>234</v>
      </c>
      <c r="B34" s="3" t="s">
        <v>66</v>
      </c>
      <c r="C34" s="23" t="s">
        <v>90</v>
      </c>
      <c r="D34" s="24"/>
      <c r="E34" s="24" t="s">
        <v>316</v>
      </c>
      <c r="F34" s="35">
        <v>43290</v>
      </c>
      <c r="G34" s="36" t="str">
        <f t="shared" ca="1" si="0"/>
        <v>8 THN 1 BLN</v>
      </c>
      <c r="H34" s="35">
        <v>34321</v>
      </c>
      <c r="I34" s="36" t="str">
        <f t="shared" ca="1" si="1"/>
        <v>32 THN 8 BLN</v>
      </c>
      <c r="J34" s="64" t="s">
        <v>377</v>
      </c>
      <c r="K34" s="59" t="s">
        <v>317</v>
      </c>
      <c r="L34" s="40" t="s">
        <v>1</v>
      </c>
      <c r="M34" s="23" t="s">
        <v>309</v>
      </c>
      <c r="N34" s="36" t="s">
        <v>312</v>
      </c>
    </row>
    <row r="35" spans="1:14" x14ac:dyDescent="0.35">
      <c r="A35" s="2">
        <v>239</v>
      </c>
      <c r="B35" s="3" t="s">
        <v>46</v>
      </c>
      <c r="C35" s="23" t="s">
        <v>34</v>
      </c>
      <c r="D35" s="24" t="s">
        <v>198</v>
      </c>
      <c r="E35" s="24" t="s">
        <v>316</v>
      </c>
      <c r="F35" s="37">
        <v>43293</v>
      </c>
      <c r="G35" s="36" t="str">
        <f t="shared" ca="1" si="0"/>
        <v>8 THN 1 BLN</v>
      </c>
      <c r="H35" s="35">
        <v>29127</v>
      </c>
      <c r="I35" s="36" t="str">
        <f t="shared" ca="1" si="1"/>
        <v>46 THN 11 BLN</v>
      </c>
      <c r="J35" s="64" t="s">
        <v>378</v>
      </c>
      <c r="K35" s="59" t="s">
        <v>317</v>
      </c>
      <c r="L35" s="40" t="s">
        <v>1</v>
      </c>
      <c r="M35" s="23" t="s">
        <v>313</v>
      </c>
      <c r="N35" s="36"/>
    </row>
    <row r="36" spans="1:14" x14ac:dyDescent="0.35">
      <c r="A36" s="2">
        <v>242</v>
      </c>
      <c r="B36" s="3" t="s">
        <v>76</v>
      </c>
      <c r="C36" s="23" t="s">
        <v>199</v>
      </c>
      <c r="D36" s="24"/>
      <c r="E36" s="24" t="s">
        <v>316</v>
      </c>
      <c r="F36" s="35">
        <v>43299</v>
      </c>
      <c r="G36" s="36" t="str">
        <f t="shared" ca="1" si="0"/>
        <v>8 THN 1 BLN</v>
      </c>
      <c r="H36" s="35">
        <v>28636</v>
      </c>
      <c r="I36" s="36" t="str">
        <f t="shared" ca="1" si="1"/>
        <v>48 THN 3 BLN</v>
      </c>
      <c r="J36" s="64" t="s">
        <v>377</v>
      </c>
      <c r="K36" s="59" t="s">
        <v>317</v>
      </c>
      <c r="L36" s="40" t="s">
        <v>1</v>
      </c>
      <c r="M36" s="23" t="s">
        <v>309</v>
      </c>
      <c r="N36" s="36" t="s">
        <v>311</v>
      </c>
    </row>
    <row r="37" spans="1:14" x14ac:dyDescent="0.35">
      <c r="A37" s="2">
        <v>247</v>
      </c>
      <c r="B37" s="3" t="s">
        <v>110</v>
      </c>
      <c r="C37" s="23" t="s">
        <v>34</v>
      </c>
      <c r="D37" s="24" t="s">
        <v>200</v>
      </c>
      <c r="E37" s="24" t="s">
        <v>316</v>
      </c>
      <c r="F37" s="35">
        <v>43325</v>
      </c>
      <c r="G37" s="36" t="str">
        <f t="shared" ca="1" si="0"/>
        <v>8 THN 0 BLN</v>
      </c>
      <c r="H37" s="35">
        <v>30443</v>
      </c>
      <c r="I37" s="36" t="str">
        <f t="shared" ca="1" si="1"/>
        <v>43 THN 3 BLN</v>
      </c>
      <c r="J37" s="64" t="s">
        <v>377</v>
      </c>
      <c r="K37" s="59" t="s">
        <v>317</v>
      </c>
      <c r="L37" s="40" t="s">
        <v>1</v>
      </c>
      <c r="M37" s="23" t="s">
        <v>313</v>
      </c>
      <c r="N37" s="36"/>
    </row>
    <row r="38" spans="1:14" x14ac:dyDescent="0.35">
      <c r="A38" s="2">
        <v>263</v>
      </c>
      <c r="B38" s="3" t="s">
        <v>201</v>
      </c>
      <c r="C38" s="23" t="s">
        <v>90</v>
      </c>
      <c r="D38" s="24"/>
      <c r="E38" s="24" t="s">
        <v>316</v>
      </c>
      <c r="F38" s="35">
        <v>43347</v>
      </c>
      <c r="G38" s="36" t="str">
        <f t="shared" ca="1" si="0"/>
        <v>7 THN 11 BLN</v>
      </c>
      <c r="H38" s="35">
        <v>33595</v>
      </c>
      <c r="I38" s="36" t="str">
        <f t="shared" ca="1" si="1"/>
        <v>34 THN 8 BLN</v>
      </c>
      <c r="J38" s="64" t="s">
        <v>377</v>
      </c>
      <c r="K38" s="59" t="s">
        <v>317</v>
      </c>
      <c r="L38" s="40" t="s">
        <v>1</v>
      </c>
      <c r="M38" s="23" t="s">
        <v>309</v>
      </c>
      <c r="N38" s="36" t="s">
        <v>312</v>
      </c>
    </row>
    <row r="39" spans="1:14" x14ac:dyDescent="0.35">
      <c r="A39" s="2">
        <v>283</v>
      </c>
      <c r="B39" s="3" t="s">
        <v>202</v>
      </c>
      <c r="C39" s="23" t="s">
        <v>25</v>
      </c>
      <c r="D39" s="24"/>
      <c r="E39" s="24" t="s">
        <v>316</v>
      </c>
      <c r="F39" s="35">
        <v>43493</v>
      </c>
      <c r="G39" s="36" t="str">
        <f t="shared" ca="1" si="0"/>
        <v>7 THN 7 BLN</v>
      </c>
      <c r="H39" s="35">
        <v>34000</v>
      </c>
      <c r="I39" s="36" t="str">
        <f t="shared" ca="1" si="1"/>
        <v>33 THN 6 BLN</v>
      </c>
      <c r="J39" s="64" t="s">
        <v>377</v>
      </c>
      <c r="K39" s="59" t="s">
        <v>317</v>
      </c>
      <c r="L39" s="40" t="s">
        <v>1</v>
      </c>
      <c r="M39" s="23" t="s">
        <v>309</v>
      </c>
      <c r="N39" s="36" t="s">
        <v>312</v>
      </c>
    </row>
    <row r="40" spans="1:14" x14ac:dyDescent="0.35">
      <c r="A40" s="2">
        <v>295</v>
      </c>
      <c r="B40" s="3" t="s">
        <v>96</v>
      </c>
      <c r="C40" s="23" t="s">
        <v>199</v>
      </c>
      <c r="D40" s="24"/>
      <c r="E40" s="24" t="s">
        <v>316</v>
      </c>
      <c r="F40" s="35">
        <v>43509</v>
      </c>
      <c r="G40" s="36" t="str">
        <f t="shared" ca="1" si="0"/>
        <v>7 THN 6 BLN</v>
      </c>
      <c r="H40" s="35">
        <v>26829</v>
      </c>
      <c r="I40" s="36" t="str">
        <f t="shared" ca="1" si="1"/>
        <v>53 THN 2 BLN</v>
      </c>
      <c r="J40" s="64" t="s">
        <v>377</v>
      </c>
      <c r="K40" s="59" t="s">
        <v>317</v>
      </c>
      <c r="L40" s="40" t="s">
        <v>1</v>
      </c>
      <c r="M40" s="23" t="s">
        <v>309</v>
      </c>
      <c r="N40" s="36" t="s">
        <v>311</v>
      </c>
    </row>
    <row r="41" spans="1:14" x14ac:dyDescent="0.35">
      <c r="A41" s="2">
        <v>303</v>
      </c>
      <c r="B41" s="3" t="s">
        <v>51</v>
      </c>
      <c r="C41" s="23" t="s">
        <v>34</v>
      </c>
      <c r="D41" s="24" t="s">
        <v>203</v>
      </c>
      <c r="E41" s="24" t="s">
        <v>316</v>
      </c>
      <c r="F41" s="35">
        <v>43150</v>
      </c>
      <c r="G41" s="36" t="str">
        <f t="shared" ca="1" si="0"/>
        <v>8 THN 6 BLN</v>
      </c>
      <c r="H41" s="35">
        <v>30297</v>
      </c>
      <c r="I41" s="36" t="str">
        <f t="shared" ca="1" si="1"/>
        <v>43 THN 8 BLN</v>
      </c>
      <c r="J41" s="64" t="s">
        <v>377</v>
      </c>
      <c r="K41" s="59" t="s">
        <v>317</v>
      </c>
      <c r="L41" s="40" t="s">
        <v>1</v>
      </c>
      <c r="M41" s="23" t="s">
        <v>309</v>
      </c>
      <c r="N41" s="36" t="s">
        <v>312</v>
      </c>
    </row>
    <row r="42" spans="1:14" x14ac:dyDescent="0.35">
      <c r="A42" s="2">
        <v>304</v>
      </c>
      <c r="B42" s="3" t="s">
        <v>102</v>
      </c>
      <c r="C42" s="23" t="s">
        <v>34</v>
      </c>
      <c r="D42" s="24" t="s">
        <v>204</v>
      </c>
      <c r="E42" s="24" t="s">
        <v>316</v>
      </c>
      <c r="F42" s="35">
        <v>43525</v>
      </c>
      <c r="G42" s="36" t="str">
        <f t="shared" ca="1" si="0"/>
        <v>7 THN 5 BLN</v>
      </c>
      <c r="H42" s="35">
        <v>34586</v>
      </c>
      <c r="I42" s="36" t="str">
        <f t="shared" ca="1" si="1"/>
        <v>31 THN 11 BLN</v>
      </c>
      <c r="J42" s="64" t="s">
        <v>377</v>
      </c>
      <c r="K42" s="59" t="s">
        <v>362</v>
      </c>
      <c r="L42" s="40" t="s">
        <v>317</v>
      </c>
      <c r="M42" s="23" t="s">
        <v>309</v>
      </c>
      <c r="N42" s="36" t="s">
        <v>312</v>
      </c>
    </row>
    <row r="43" spans="1:14" x14ac:dyDescent="0.35">
      <c r="A43" s="2">
        <v>306</v>
      </c>
      <c r="B43" s="3" t="s">
        <v>103</v>
      </c>
      <c r="C43" s="23" t="s">
        <v>34</v>
      </c>
      <c r="D43" s="24" t="s">
        <v>204</v>
      </c>
      <c r="E43" s="24" t="s">
        <v>316</v>
      </c>
      <c r="F43" s="35">
        <v>43525</v>
      </c>
      <c r="G43" s="36" t="str">
        <f t="shared" ca="1" si="0"/>
        <v>7 THN 5 BLN</v>
      </c>
      <c r="H43" s="35">
        <v>34500</v>
      </c>
      <c r="I43" s="36" t="str">
        <f t="shared" ca="1" si="1"/>
        <v>32 THN 2 BLN</v>
      </c>
      <c r="J43" s="64" t="s">
        <v>377</v>
      </c>
      <c r="K43" s="59" t="s">
        <v>362</v>
      </c>
      <c r="L43" s="40" t="s">
        <v>317</v>
      </c>
      <c r="M43" s="23" t="s">
        <v>309</v>
      </c>
      <c r="N43" s="36" t="s">
        <v>312</v>
      </c>
    </row>
    <row r="44" spans="1:14" x14ac:dyDescent="0.35">
      <c r="A44" s="2">
        <v>322</v>
      </c>
      <c r="B44" s="3" t="s">
        <v>84</v>
      </c>
      <c r="C44" s="23" t="s">
        <v>25</v>
      </c>
      <c r="D44" s="24"/>
      <c r="E44" s="24" t="s">
        <v>316</v>
      </c>
      <c r="F44" s="37">
        <v>43658</v>
      </c>
      <c r="G44" s="36" t="str">
        <f t="shared" ca="1" si="0"/>
        <v>7 THN 1 BLN</v>
      </c>
      <c r="H44" s="35">
        <v>36884</v>
      </c>
      <c r="I44" s="36" t="str">
        <f t="shared" ca="1" si="1"/>
        <v>25 THN 8 BLN</v>
      </c>
      <c r="J44" s="64" t="s">
        <v>377</v>
      </c>
      <c r="K44" s="59" t="s">
        <v>317</v>
      </c>
      <c r="L44" s="40" t="s">
        <v>1</v>
      </c>
      <c r="M44" s="23" t="s">
        <v>309</v>
      </c>
      <c r="N44" s="36" t="s">
        <v>312</v>
      </c>
    </row>
    <row r="45" spans="1:14" x14ac:dyDescent="0.35">
      <c r="A45" s="2">
        <v>332</v>
      </c>
      <c r="B45" s="3" t="s">
        <v>97</v>
      </c>
      <c r="C45" s="23" t="s">
        <v>6</v>
      </c>
      <c r="D45" s="24"/>
      <c r="E45" s="24" t="s">
        <v>316</v>
      </c>
      <c r="F45" s="35">
        <v>43703</v>
      </c>
      <c r="G45" s="36" t="str">
        <f t="shared" ca="1" si="0"/>
        <v>7 THN 0 BLN</v>
      </c>
      <c r="H45" s="35">
        <v>31587</v>
      </c>
      <c r="I45" s="36" t="str">
        <f t="shared" ca="1" si="1"/>
        <v>40 THN 2 BLN</v>
      </c>
      <c r="J45" s="64" t="s">
        <v>378</v>
      </c>
      <c r="K45" s="59" t="s">
        <v>317</v>
      </c>
      <c r="L45" s="40" t="s">
        <v>317</v>
      </c>
      <c r="M45" s="23" t="s">
        <v>308</v>
      </c>
      <c r="N45" s="36" t="s">
        <v>6</v>
      </c>
    </row>
    <row r="46" spans="1:14" x14ac:dyDescent="0.35">
      <c r="A46" s="2">
        <v>341</v>
      </c>
      <c r="B46" s="3" t="s">
        <v>118</v>
      </c>
      <c r="C46" s="23" t="s">
        <v>69</v>
      </c>
      <c r="D46" s="24"/>
      <c r="E46" s="24" t="s">
        <v>316</v>
      </c>
      <c r="F46" s="35">
        <v>43823</v>
      </c>
      <c r="G46" s="36" t="str">
        <f t="shared" ca="1" si="0"/>
        <v>6 THN 8 BLN</v>
      </c>
      <c r="H46" s="35">
        <v>29104</v>
      </c>
      <c r="I46" s="36" t="str">
        <f t="shared" ca="1" si="1"/>
        <v>46 THN 11 BLN</v>
      </c>
      <c r="J46" s="64" t="s">
        <v>377</v>
      </c>
      <c r="K46" s="59" t="s">
        <v>317</v>
      </c>
      <c r="L46" s="40" t="s">
        <v>317</v>
      </c>
      <c r="M46" s="23" t="s">
        <v>309</v>
      </c>
      <c r="N46" s="36" t="s">
        <v>311</v>
      </c>
    </row>
    <row r="47" spans="1:14" x14ac:dyDescent="0.35">
      <c r="A47" s="2">
        <v>348</v>
      </c>
      <c r="B47" s="3" t="s">
        <v>115</v>
      </c>
      <c r="C47" s="23" t="s">
        <v>192</v>
      </c>
      <c r="D47" s="24" t="s">
        <v>205</v>
      </c>
      <c r="E47" s="24" t="s">
        <v>316</v>
      </c>
      <c r="F47" s="37">
        <v>43881</v>
      </c>
      <c r="G47" s="36" t="str">
        <f t="shared" ca="1" si="0"/>
        <v>6 THN 6 BLN</v>
      </c>
      <c r="H47" s="35">
        <v>35701</v>
      </c>
      <c r="I47" s="36" t="str">
        <f t="shared" ca="1" si="1"/>
        <v>28 THN 11 BLN</v>
      </c>
      <c r="J47" s="64" t="s">
        <v>377</v>
      </c>
      <c r="K47" s="59" t="s">
        <v>317</v>
      </c>
      <c r="L47" s="40" t="s">
        <v>317</v>
      </c>
      <c r="M47" s="23" t="s">
        <v>313</v>
      </c>
      <c r="N47" s="36"/>
    </row>
    <row r="48" spans="1:14" x14ac:dyDescent="0.35">
      <c r="A48" s="2">
        <v>354</v>
      </c>
      <c r="B48" s="3" t="s">
        <v>113</v>
      </c>
      <c r="C48" s="23" t="s">
        <v>16</v>
      </c>
      <c r="D48" s="24"/>
      <c r="E48" s="24" t="s">
        <v>316</v>
      </c>
      <c r="F48" s="35">
        <v>43910</v>
      </c>
      <c r="G48" s="36" t="str">
        <f t="shared" ca="1" si="0"/>
        <v>6 THN 5 BLN</v>
      </c>
      <c r="H48" s="35">
        <v>33490</v>
      </c>
      <c r="I48" s="36" t="str">
        <f t="shared" ca="1" si="1"/>
        <v>34 THN 11 BLN</v>
      </c>
      <c r="J48" s="64" t="s">
        <v>377</v>
      </c>
      <c r="K48" s="59" t="s">
        <v>317</v>
      </c>
      <c r="L48" s="40" t="s">
        <v>317</v>
      </c>
      <c r="M48" s="23" t="s">
        <v>309</v>
      </c>
      <c r="N48" s="36" t="s">
        <v>311</v>
      </c>
    </row>
    <row r="49" spans="1:14" x14ac:dyDescent="0.35">
      <c r="A49" s="2">
        <v>356</v>
      </c>
      <c r="B49" s="3" t="s">
        <v>114</v>
      </c>
      <c r="C49" s="23" t="s">
        <v>6</v>
      </c>
      <c r="D49" s="24" t="s">
        <v>206</v>
      </c>
      <c r="E49" s="24" t="s">
        <v>316</v>
      </c>
      <c r="F49" s="35">
        <v>44013</v>
      </c>
      <c r="G49" s="36" t="str">
        <f t="shared" ca="1" si="0"/>
        <v>6 THN 1 BLN</v>
      </c>
      <c r="H49" s="35">
        <v>33216</v>
      </c>
      <c r="I49" s="36" t="str">
        <f t="shared" ca="1" si="1"/>
        <v>35 THN 8 BLN</v>
      </c>
      <c r="J49" s="64" t="s">
        <v>377</v>
      </c>
      <c r="K49" s="59" t="s">
        <v>317</v>
      </c>
      <c r="L49" s="40" t="s">
        <v>317</v>
      </c>
      <c r="M49" s="23" t="s">
        <v>308</v>
      </c>
      <c r="N49" s="36" t="s">
        <v>6</v>
      </c>
    </row>
    <row r="50" spans="1:14" x14ac:dyDescent="0.35">
      <c r="A50" s="2">
        <v>361</v>
      </c>
      <c r="B50" s="3" t="s">
        <v>175</v>
      </c>
      <c r="C50" s="23" t="s">
        <v>199</v>
      </c>
      <c r="D50" s="24"/>
      <c r="E50" s="24" t="s">
        <v>316</v>
      </c>
      <c r="F50" s="35">
        <v>44058</v>
      </c>
      <c r="G50" s="36" t="str">
        <f t="shared" ca="1" si="0"/>
        <v>6 THN 0 BLN</v>
      </c>
      <c r="H50" s="35">
        <v>34860</v>
      </c>
      <c r="I50" s="36" t="str">
        <f t="shared" ca="1" si="1"/>
        <v>31 THN 2 BLN</v>
      </c>
      <c r="J50" s="64" t="s">
        <v>377</v>
      </c>
      <c r="K50" s="59" t="s">
        <v>317</v>
      </c>
      <c r="L50" s="40" t="s">
        <v>317</v>
      </c>
      <c r="M50" s="23" t="s">
        <v>309</v>
      </c>
      <c r="N50" s="36" t="s">
        <v>311</v>
      </c>
    </row>
    <row r="51" spans="1:14" x14ac:dyDescent="0.35">
      <c r="A51" s="2">
        <v>365</v>
      </c>
      <c r="B51" s="3" t="s">
        <v>165</v>
      </c>
      <c r="C51" s="23" t="s">
        <v>207</v>
      </c>
      <c r="D51" s="24"/>
      <c r="E51" s="24" t="s">
        <v>316</v>
      </c>
      <c r="F51" s="35">
        <v>44069</v>
      </c>
      <c r="G51" s="36" t="str">
        <f t="shared" ca="1" si="0"/>
        <v>6 THN 0 BLN</v>
      </c>
      <c r="H51" s="35">
        <v>37322</v>
      </c>
      <c r="I51" s="36" t="str">
        <f t="shared" ca="1" si="1"/>
        <v>24 THN 5 BLN</v>
      </c>
      <c r="J51" s="64" t="s">
        <v>377</v>
      </c>
      <c r="K51" s="59" t="s">
        <v>317</v>
      </c>
      <c r="L51" s="40" t="s">
        <v>317</v>
      </c>
      <c r="M51" s="23" t="s">
        <v>309</v>
      </c>
      <c r="N51" s="36" t="s">
        <v>312</v>
      </c>
    </row>
    <row r="52" spans="1:14" x14ac:dyDescent="0.35">
      <c r="A52" s="2">
        <v>370</v>
      </c>
      <c r="B52" s="3" t="s">
        <v>167</v>
      </c>
      <c r="C52" s="23" t="s">
        <v>34</v>
      </c>
      <c r="D52" s="24" t="s">
        <v>208</v>
      </c>
      <c r="E52" s="24" t="s">
        <v>316</v>
      </c>
      <c r="F52" s="35">
        <v>44088</v>
      </c>
      <c r="G52" s="36" t="str">
        <f t="shared" ca="1" si="0"/>
        <v>5 THN 11 BLN</v>
      </c>
      <c r="H52" s="35">
        <v>35598</v>
      </c>
      <c r="I52" s="36" t="str">
        <f t="shared" ca="1" si="1"/>
        <v>29 THN 2 BLN</v>
      </c>
      <c r="J52" s="64" t="s">
        <v>377</v>
      </c>
      <c r="K52" s="59" t="s">
        <v>317</v>
      </c>
      <c r="L52" s="40" t="s">
        <v>317</v>
      </c>
      <c r="M52" s="23" t="s">
        <v>313</v>
      </c>
      <c r="N52" s="36"/>
    </row>
    <row r="53" spans="1:14" x14ac:dyDescent="0.35">
      <c r="A53" s="2">
        <v>372</v>
      </c>
      <c r="B53" s="3" t="s">
        <v>153</v>
      </c>
      <c r="C53" s="23" t="s">
        <v>192</v>
      </c>
      <c r="D53" s="24"/>
      <c r="E53" s="24" t="s">
        <v>316</v>
      </c>
      <c r="F53" s="35">
        <v>44091</v>
      </c>
      <c r="G53" s="36" t="str">
        <f t="shared" ca="1" si="0"/>
        <v>5 THN 11 BLN</v>
      </c>
      <c r="H53" s="35">
        <v>37312</v>
      </c>
      <c r="I53" s="36" t="str">
        <f t="shared" ca="1" si="1"/>
        <v>24 THN 6 BLN</v>
      </c>
      <c r="J53" s="64" t="s">
        <v>377</v>
      </c>
      <c r="K53" s="59" t="s">
        <v>317</v>
      </c>
      <c r="L53" s="40" t="s">
        <v>317</v>
      </c>
      <c r="M53" s="23" t="s">
        <v>313</v>
      </c>
      <c r="N53" s="36"/>
    </row>
    <row r="54" spans="1:14" x14ac:dyDescent="0.35">
      <c r="A54" s="2">
        <v>373</v>
      </c>
      <c r="B54" s="3" t="s">
        <v>173</v>
      </c>
      <c r="C54" s="23" t="s">
        <v>90</v>
      </c>
      <c r="D54" s="24"/>
      <c r="E54" s="24" t="s">
        <v>316</v>
      </c>
      <c r="F54" s="37">
        <v>44095</v>
      </c>
      <c r="G54" s="36" t="str">
        <f t="shared" ca="1" si="0"/>
        <v>5 THN 11 BLN</v>
      </c>
      <c r="H54" s="35">
        <v>34865</v>
      </c>
      <c r="I54" s="36" t="str">
        <f t="shared" ca="1" si="1"/>
        <v>31 THN 2 BLN</v>
      </c>
      <c r="J54" s="64" t="s">
        <v>377</v>
      </c>
      <c r="K54" s="59" t="s">
        <v>317</v>
      </c>
      <c r="L54" s="40" t="s">
        <v>317</v>
      </c>
      <c r="M54" s="23" t="s">
        <v>319</v>
      </c>
      <c r="N54" s="36" t="s">
        <v>318</v>
      </c>
    </row>
    <row r="55" spans="1:14" x14ac:dyDescent="0.35">
      <c r="A55" s="2">
        <v>383</v>
      </c>
      <c r="B55" s="3" t="s">
        <v>209</v>
      </c>
      <c r="C55" s="23" t="s">
        <v>34</v>
      </c>
      <c r="D55" s="24" t="s">
        <v>210</v>
      </c>
      <c r="E55" s="24" t="s">
        <v>316</v>
      </c>
      <c r="F55" s="35">
        <v>44184</v>
      </c>
      <c r="G55" s="36" t="str">
        <f t="shared" ca="1" si="0"/>
        <v>5 THN 8 BLN</v>
      </c>
      <c r="H55" s="35">
        <v>37188</v>
      </c>
      <c r="I55" s="36" t="str">
        <f t="shared" ca="1" si="1"/>
        <v>24 THN 10 BLN</v>
      </c>
      <c r="J55" s="64" t="s">
        <v>377</v>
      </c>
      <c r="K55" s="59" t="s">
        <v>317</v>
      </c>
      <c r="L55" s="40" t="s">
        <v>317</v>
      </c>
      <c r="M55" s="23" t="s">
        <v>313</v>
      </c>
      <c r="N55" s="36"/>
    </row>
    <row r="56" spans="1:14" hidden="1" x14ac:dyDescent="0.35">
      <c r="A56" s="2">
        <v>387</v>
      </c>
      <c r="B56" s="3" t="s">
        <v>183</v>
      </c>
      <c r="C56" s="23" t="s">
        <v>6</v>
      </c>
      <c r="D56" s="24"/>
      <c r="E56" s="24" t="s">
        <v>291</v>
      </c>
      <c r="F56" s="35">
        <v>44172</v>
      </c>
      <c r="G56" s="36" t="str">
        <f t="shared" ca="1" si="0"/>
        <v>5 THN 8 BLN</v>
      </c>
      <c r="H56" s="35">
        <v>30634</v>
      </c>
      <c r="I56" s="36" t="str">
        <f t="shared" ca="1" si="1"/>
        <v>42 THN 9 BLN</v>
      </c>
      <c r="J56" s="64" t="s">
        <v>378</v>
      </c>
      <c r="K56" s="59" t="s">
        <v>317</v>
      </c>
      <c r="L56" s="40" t="s">
        <v>317</v>
      </c>
      <c r="M56" s="23" t="s">
        <v>308</v>
      </c>
      <c r="N56" s="36" t="s">
        <v>6</v>
      </c>
    </row>
    <row r="57" spans="1:14" x14ac:dyDescent="0.35">
      <c r="A57" s="2">
        <v>389</v>
      </c>
      <c r="B57" s="3" t="s">
        <v>211</v>
      </c>
      <c r="C57" s="23" t="s">
        <v>34</v>
      </c>
      <c r="D57" s="24" t="s">
        <v>212</v>
      </c>
      <c r="E57" s="24" t="s">
        <v>316</v>
      </c>
      <c r="F57" s="35">
        <v>44184</v>
      </c>
      <c r="G57" s="36" t="str">
        <f t="shared" ca="1" si="0"/>
        <v>5 THN 8 BLN</v>
      </c>
      <c r="H57" s="35">
        <v>37454</v>
      </c>
      <c r="I57" s="36" t="str">
        <f t="shared" ca="1" si="1"/>
        <v>24 THN 1 BLN</v>
      </c>
      <c r="J57" s="64" t="s">
        <v>377</v>
      </c>
      <c r="K57" s="59" t="s">
        <v>317</v>
      </c>
      <c r="L57" s="40" t="s">
        <v>317</v>
      </c>
      <c r="M57" s="23" t="s">
        <v>309</v>
      </c>
      <c r="N57" s="36" t="s">
        <v>312</v>
      </c>
    </row>
    <row r="58" spans="1:14" x14ac:dyDescent="0.35">
      <c r="A58" s="2">
        <v>391</v>
      </c>
      <c r="B58" s="3" t="s">
        <v>213</v>
      </c>
      <c r="C58" s="23" t="s">
        <v>90</v>
      </c>
      <c r="D58" s="24"/>
      <c r="E58" s="24" t="s">
        <v>316</v>
      </c>
      <c r="F58" s="35">
        <v>44222</v>
      </c>
      <c r="G58" s="36" t="str">
        <f t="shared" ca="1" si="0"/>
        <v>5 THN 7 BLN</v>
      </c>
      <c r="H58" s="35">
        <v>36595</v>
      </c>
      <c r="I58" s="36" t="str">
        <f t="shared" ca="1" si="1"/>
        <v>26 THN 5 BLN</v>
      </c>
      <c r="J58" s="64" t="s">
        <v>377</v>
      </c>
      <c r="K58" s="59" t="s">
        <v>317</v>
      </c>
      <c r="L58" s="40" t="s">
        <v>317</v>
      </c>
      <c r="M58" s="23" t="s">
        <v>309</v>
      </c>
      <c r="N58" s="36" t="s">
        <v>312</v>
      </c>
    </row>
    <row r="59" spans="1:14" x14ac:dyDescent="0.35">
      <c r="A59" s="2">
        <v>401</v>
      </c>
      <c r="B59" s="58" t="s">
        <v>214</v>
      </c>
      <c r="C59" s="23" t="s">
        <v>34</v>
      </c>
      <c r="D59" s="24" t="s">
        <v>210</v>
      </c>
      <c r="E59" s="24" t="s">
        <v>316</v>
      </c>
      <c r="F59" s="35">
        <v>44261</v>
      </c>
      <c r="G59" s="36" t="str">
        <f t="shared" ca="1" si="0"/>
        <v>5 THN 5 BLN</v>
      </c>
      <c r="H59" s="35">
        <v>36597</v>
      </c>
      <c r="I59" s="36" t="str">
        <f t="shared" ca="1" si="1"/>
        <v>26 THN 5 BLN</v>
      </c>
      <c r="J59" s="64" t="s">
        <v>377</v>
      </c>
      <c r="K59" s="59" t="s">
        <v>317</v>
      </c>
      <c r="L59" s="40" t="s">
        <v>317</v>
      </c>
      <c r="M59" s="23" t="s">
        <v>319</v>
      </c>
      <c r="N59" s="36"/>
    </row>
    <row r="60" spans="1:14" x14ac:dyDescent="0.35">
      <c r="A60" s="2">
        <v>406</v>
      </c>
      <c r="B60" s="3" t="s">
        <v>215</v>
      </c>
      <c r="C60" s="23" t="s">
        <v>6</v>
      </c>
      <c r="D60" s="24"/>
      <c r="E60" s="24" t="s">
        <v>316</v>
      </c>
      <c r="F60" s="35">
        <v>44270</v>
      </c>
      <c r="G60" s="36" t="str">
        <f t="shared" ca="1" si="0"/>
        <v>5 THN 5 BLN</v>
      </c>
      <c r="H60" s="35">
        <v>36094</v>
      </c>
      <c r="I60" s="36" t="str">
        <f t="shared" ca="1" si="1"/>
        <v>27 THN 10 BLN</v>
      </c>
      <c r="J60" s="64" t="s">
        <v>377</v>
      </c>
      <c r="K60" s="59" t="s">
        <v>317</v>
      </c>
      <c r="L60" s="40" t="s">
        <v>317</v>
      </c>
      <c r="M60" s="23" t="s">
        <v>308</v>
      </c>
      <c r="N60" s="36" t="s">
        <v>6</v>
      </c>
    </row>
    <row r="61" spans="1:14" x14ac:dyDescent="0.35">
      <c r="A61" s="2">
        <v>408</v>
      </c>
      <c r="B61" s="3" t="s">
        <v>216</v>
      </c>
      <c r="C61" s="23" t="s">
        <v>34</v>
      </c>
      <c r="D61" s="24" t="s">
        <v>200</v>
      </c>
      <c r="E61" s="24" t="s">
        <v>316</v>
      </c>
      <c r="F61" s="35">
        <v>44289</v>
      </c>
      <c r="G61" s="36" t="str">
        <f t="shared" ca="1" si="0"/>
        <v>5 THN 4 BLN</v>
      </c>
      <c r="H61" s="35">
        <v>37022</v>
      </c>
      <c r="I61" s="36" t="str">
        <f t="shared" ca="1" si="1"/>
        <v>25 THN 3 BLN</v>
      </c>
      <c r="J61" s="64" t="s">
        <v>377</v>
      </c>
      <c r="K61" s="59" t="s">
        <v>317</v>
      </c>
      <c r="L61" s="40" t="s">
        <v>317</v>
      </c>
      <c r="M61" s="23" t="s">
        <v>309</v>
      </c>
      <c r="N61" s="36" t="s">
        <v>312</v>
      </c>
    </row>
    <row r="62" spans="1:14" x14ac:dyDescent="0.35">
      <c r="A62" s="2">
        <v>419</v>
      </c>
      <c r="B62" s="3" t="s">
        <v>217</v>
      </c>
      <c r="C62" s="23" t="s">
        <v>34</v>
      </c>
      <c r="D62" s="24" t="s">
        <v>198</v>
      </c>
      <c r="E62" s="24" t="s">
        <v>316</v>
      </c>
      <c r="F62" s="35">
        <v>44368</v>
      </c>
      <c r="G62" s="36" t="str">
        <f t="shared" ca="1" si="0"/>
        <v>5 THN 2 BLN</v>
      </c>
      <c r="H62" s="35">
        <v>35871</v>
      </c>
      <c r="I62" s="36" t="str">
        <f t="shared" ca="1" si="1"/>
        <v>28 THN 5 BLN</v>
      </c>
      <c r="J62" s="64" t="s">
        <v>378</v>
      </c>
      <c r="K62" s="59" t="s">
        <v>317</v>
      </c>
      <c r="L62" s="40" t="s">
        <v>317</v>
      </c>
      <c r="M62" s="23" t="s">
        <v>313</v>
      </c>
      <c r="N62" s="36"/>
    </row>
    <row r="63" spans="1:14" x14ac:dyDescent="0.35">
      <c r="A63" s="2">
        <v>420</v>
      </c>
      <c r="B63" s="3" t="s">
        <v>218</v>
      </c>
      <c r="C63" s="23" t="s">
        <v>207</v>
      </c>
      <c r="D63" s="24"/>
      <c r="E63" s="24" t="s">
        <v>316</v>
      </c>
      <c r="F63" s="35">
        <v>44369</v>
      </c>
      <c r="G63" s="36" t="str">
        <f t="shared" ca="1" si="0"/>
        <v>5 THN 2 BLN</v>
      </c>
      <c r="H63" s="35">
        <v>35894</v>
      </c>
      <c r="I63" s="36" t="str">
        <f t="shared" ca="1" si="1"/>
        <v>28 THN 4 BLN</v>
      </c>
      <c r="J63" s="64" t="s">
        <v>377</v>
      </c>
      <c r="K63" s="59" t="s">
        <v>317</v>
      </c>
      <c r="L63" s="40" t="s">
        <v>317</v>
      </c>
      <c r="M63" s="23" t="s">
        <v>309</v>
      </c>
      <c r="N63" s="36" t="s">
        <v>312</v>
      </c>
    </row>
    <row r="64" spans="1:14" x14ac:dyDescent="0.35">
      <c r="A64" s="2">
        <v>421</v>
      </c>
      <c r="B64" s="3" t="s">
        <v>219</v>
      </c>
      <c r="C64" s="23" t="s">
        <v>16</v>
      </c>
      <c r="D64" s="24"/>
      <c r="E64" s="24" t="s">
        <v>316</v>
      </c>
      <c r="F64" s="35">
        <v>44392</v>
      </c>
      <c r="G64" s="36" t="str">
        <f t="shared" ca="1" si="0"/>
        <v>5 THN 1 BLN</v>
      </c>
      <c r="H64" s="35">
        <v>35338</v>
      </c>
      <c r="I64" s="36" t="str">
        <f t="shared" ca="1" si="1"/>
        <v>29 THN 10 BLN</v>
      </c>
      <c r="J64" s="64" t="s">
        <v>377</v>
      </c>
      <c r="K64" s="59" t="s">
        <v>317</v>
      </c>
      <c r="L64" s="40" t="s">
        <v>317</v>
      </c>
      <c r="M64" s="23" t="s">
        <v>309</v>
      </c>
      <c r="N64" s="36" t="s">
        <v>311</v>
      </c>
    </row>
    <row r="65" spans="1:16" x14ac:dyDescent="0.35">
      <c r="A65" s="2">
        <v>425</v>
      </c>
      <c r="B65" s="3" t="s">
        <v>220</v>
      </c>
      <c r="C65" s="23" t="s">
        <v>88</v>
      </c>
      <c r="D65" s="24"/>
      <c r="E65" s="24" t="s">
        <v>316</v>
      </c>
      <c r="F65" s="39" t="s">
        <v>320</v>
      </c>
      <c r="G65" s="36" t="str">
        <f t="shared" ca="1" si="0"/>
        <v>5 THN 1 BLN</v>
      </c>
      <c r="H65" s="35">
        <v>32559</v>
      </c>
      <c r="I65" s="36" t="str">
        <f t="shared" ca="1" si="1"/>
        <v>37 THN 6 BLN</v>
      </c>
      <c r="J65" s="64" t="s">
        <v>378</v>
      </c>
      <c r="K65" s="59" t="s">
        <v>317</v>
      </c>
      <c r="L65" s="40" t="s">
        <v>317</v>
      </c>
      <c r="M65" s="23" t="s">
        <v>313</v>
      </c>
      <c r="N65" s="51"/>
    </row>
    <row r="66" spans="1:16" hidden="1" x14ac:dyDescent="0.35">
      <c r="A66" s="2">
        <v>426</v>
      </c>
      <c r="B66" s="3" t="s">
        <v>221</v>
      </c>
      <c r="C66" s="23" t="s">
        <v>34</v>
      </c>
      <c r="D66" s="24" t="s">
        <v>194</v>
      </c>
      <c r="E66" s="24" t="s">
        <v>291</v>
      </c>
      <c r="F66" s="39" t="s">
        <v>321</v>
      </c>
      <c r="G66" s="36" t="str">
        <f t="shared" ref="G66:G127" ca="1" si="2">DATEDIF(F66,TODAY(),"Y")&amp; " THN "&amp;DATEDIF(F66,TODAY(),"YM")&amp;" BLN"</f>
        <v>5 THN 0 BLN</v>
      </c>
      <c r="H66" s="35">
        <v>35140</v>
      </c>
      <c r="I66" s="36" t="str">
        <f t="shared" ref="I66:I127" ca="1" si="3">DATEDIF(H66,TODAY(),"Y")&amp; " THN "&amp;DATEDIF(H66,TODAY(),"YM")&amp;" BLN"</f>
        <v>30 THN 5 BLN</v>
      </c>
      <c r="J66" s="64" t="s">
        <v>378</v>
      </c>
      <c r="K66" s="59" t="s">
        <v>317</v>
      </c>
      <c r="L66" s="40" t="s">
        <v>317</v>
      </c>
      <c r="M66" s="23" t="s">
        <v>313</v>
      </c>
      <c r="N66" s="51"/>
      <c r="O66" s="7">
        <v>46190</v>
      </c>
      <c r="P66" s="1" t="s">
        <v>427</v>
      </c>
    </row>
    <row r="67" spans="1:16" x14ac:dyDescent="0.35">
      <c r="A67" s="2">
        <v>428</v>
      </c>
      <c r="B67" s="3" t="s">
        <v>222</v>
      </c>
      <c r="C67" s="23" t="s">
        <v>34</v>
      </c>
      <c r="D67" s="24" t="s">
        <v>223</v>
      </c>
      <c r="E67" s="24" t="s">
        <v>316</v>
      </c>
      <c r="F67" s="39" t="s">
        <v>321</v>
      </c>
      <c r="G67" s="36" t="str">
        <f t="shared" ca="1" si="2"/>
        <v>5 THN 0 BLN</v>
      </c>
      <c r="H67" s="35">
        <v>30333</v>
      </c>
      <c r="I67" s="36" t="str">
        <f t="shared" ca="1" si="3"/>
        <v>43 THN 7 BLN</v>
      </c>
      <c r="J67" s="64" t="s">
        <v>378</v>
      </c>
      <c r="K67" s="59" t="s">
        <v>317</v>
      </c>
      <c r="L67" s="40" t="s">
        <v>317</v>
      </c>
      <c r="M67" s="23" t="s">
        <v>313</v>
      </c>
      <c r="N67" s="51"/>
    </row>
    <row r="68" spans="1:16" x14ac:dyDescent="0.35">
      <c r="A68" s="2">
        <v>430</v>
      </c>
      <c r="B68" s="3" t="s">
        <v>224</v>
      </c>
      <c r="C68" s="23" t="s">
        <v>88</v>
      </c>
      <c r="D68" s="24"/>
      <c r="E68" s="24" t="s">
        <v>316</v>
      </c>
      <c r="F68" s="35">
        <v>44434</v>
      </c>
      <c r="G68" s="36" t="str">
        <f t="shared" ca="1" si="2"/>
        <v>5 THN 0 BLN</v>
      </c>
      <c r="H68" s="35">
        <v>36159</v>
      </c>
      <c r="I68" s="36" t="str">
        <f t="shared" ca="1" si="3"/>
        <v>27 THN 7 BLN</v>
      </c>
      <c r="J68" s="64" t="s">
        <v>378</v>
      </c>
      <c r="K68" s="59" t="s">
        <v>317</v>
      </c>
      <c r="L68" s="40" t="s">
        <v>317</v>
      </c>
      <c r="M68" s="23" t="s">
        <v>313</v>
      </c>
      <c r="N68" s="51"/>
    </row>
    <row r="69" spans="1:16" x14ac:dyDescent="0.35">
      <c r="A69" s="2">
        <v>434</v>
      </c>
      <c r="B69" s="3" t="s">
        <v>225</v>
      </c>
      <c r="C69" s="23" t="s">
        <v>90</v>
      </c>
      <c r="D69" s="24"/>
      <c r="E69" s="24" t="s">
        <v>316</v>
      </c>
      <c r="F69" s="39" t="s">
        <v>322</v>
      </c>
      <c r="G69" s="36" t="str">
        <f t="shared" ca="1" si="2"/>
        <v>4 THN 11 BLN</v>
      </c>
      <c r="H69" s="35">
        <v>36542</v>
      </c>
      <c r="I69" s="36" t="str">
        <f t="shared" ca="1" si="3"/>
        <v>26 THN 7 BLN</v>
      </c>
      <c r="J69" s="64" t="s">
        <v>377</v>
      </c>
      <c r="K69" s="59" t="s">
        <v>317</v>
      </c>
      <c r="L69" s="40" t="s">
        <v>317</v>
      </c>
      <c r="M69" s="23" t="s">
        <v>309</v>
      </c>
      <c r="N69" s="36" t="s">
        <v>312</v>
      </c>
    </row>
    <row r="70" spans="1:16" x14ac:dyDescent="0.35">
      <c r="A70" s="2">
        <v>448</v>
      </c>
      <c r="B70" s="3" t="s">
        <v>226</v>
      </c>
      <c r="C70" s="23" t="s">
        <v>192</v>
      </c>
      <c r="D70" s="24"/>
      <c r="E70" s="24" t="s">
        <v>316</v>
      </c>
      <c r="F70" s="39" t="s">
        <v>323</v>
      </c>
      <c r="G70" s="36" t="str">
        <f t="shared" ca="1" si="2"/>
        <v>4 THN 10 BLN</v>
      </c>
      <c r="H70" s="35">
        <v>37472</v>
      </c>
      <c r="I70" s="36" t="str">
        <f t="shared" ca="1" si="3"/>
        <v>24 THN 0 BLN</v>
      </c>
      <c r="J70" s="64" t="s">
        <v>377</v>
      </c>
      <c r="K70" s="59" t="s">
        <v>317</v>
      </c>
      <c r="L70" s="40" t="s">
        <v>317</v>
      </c>
      <c r="M70" s="23" t="s">
        <v>313</v>
      </c>
      <c r="N70" s="36"/>
    </row>
    <row r="71" spans="1:16" hidden="1" x14ac:dyDescent="0.35">
      <c r="A71" s="2">
        <v>457</v>
      </c>
      <c r="B71" s="3" t="s">
        <v>227</v>
      </c>
      <c r="C71" s="23" t="s">
        <v>6</v>
      </c>
      <c r="D71" s="24" t="s">
        <v>192</v>
      </c>
      <c r="E71" s="24" t="s">
        <v>291</v>
      </c>
      <c r="F71" s="35">
        <v>44543</v>
      </c>
      <c r="G71" s="36" t="str">
        <f t="shared" ca="1" si="2"/>
        <v>4 THN 8 BLN</v>
      </c>
      <c r="H71" s="35">
        <v>34717</v>
      </c>
      <c r="I71" s="36" t="str">
        <f t="shared" ca="1" si="3"/>
        <v>31 THN 7 BLN</v>
      </c>
      <c r="J71" s="64" t="s">
        <v>377</v>
      </c>
      <c r="K71" s="59" t="s">
        <v>317</v>
      </c>
      <c r="L71" s="40" t="s">
        <v>317</v>
      </c>
      <c r="M71" s="23" t="s">
        <v>308</v>
      </c>
      <c r="N71" s="36" t="s">
        <v>6</v>
      </c>
      <c r="O71" s="1" t="s">
        <v>380</v>
      </c>
      <c r="P71" s="1" t="s">
        <v>382</v>
      </c>
    </row>
    <row r="72" spans="1:16" hidden="1" x14ac:dyDescent="0.35">
      <c r="A72" s="2">
        <v>479</v>
      </c>
      <c r="B72" s="3" t="s">
        <v>231</v>
      </c>
      <c r="C72" s="23" t="s">
        <v>6</v>
      </c>
      <c r="D72" s="28"/>
      <c r="E72" s="24" t="s">
        <v>291</v>
      </c>
      <c r="F72" s="38">
        <v>44719</v>
      </c>
      <c r="G72" s="36" t="str">
        <f t="shared" ca="1" si="2"/>
        <v>4 THN 2 BLN</v>
      </c>
      <c r="H72" s="35">
        <v>31872</v>
      </c>
      <c r="I72" s="36" t="str">
        <f t="shared" ca="1" si="3"/>
        <v>39 THN 4 BLN</v>
      </c>
      <c r="J72" s="64" t="s">
        <v>378</v>
      </c>
      <c r="K72" s="59" t="s">
        <v>317</v>
      </c>
      <c r="L72" s="40" t="s">
        <v>317</v>
      </c>
      <c r="M72" s="23" t="s">
        <v>308</v>
      </c>
      <c r="N72" s="36" t="s">
        <v>6</v>
      </c>
      <c r="O72" s="7">
        <v>46197</v>
      </c>
      <c r="P72" s="1" t="s">
        <v>428</v>
      </c>
    </row>
    <row r="73" spans="1:16" x14ac:dyDescent="0.35">
      <c r="A73" s="2">
        <v>485</v>
      </c>
      <c r="B73" s="3" t="s">
        <v>232</v>
      </c>
      <c r="C73" s="23" t="s">
        <v>192</v>
      </c>
      <c r="D73" s="24"/>
      <c r="E73" s="24" t="s">
        <v>316</v>
      </c>
      <c r="F73" s="39" t="s">
        <v>324</v>
      </c>
      <c r="G73" s="36" t="str">
        <f t="shared" ca="1" si="2"/>
        <v>4 THN 1 BLN</v>
      </c>
      <c r="H73" s="35">
        <v>37358</v>
      </c>
      <c r="I73" s="36" t="str">
        <f t="shared" ca="1" si="3"/>
        <v>24 THN 4 BLN</v>
      </c>
      <c r="J73" s="64" t="s">
        <v>377</v>
      </c>
      <c r="K73" s="59" t="s">
        <v>317</v>
      </c>
      <c r="L73" s="40" t="s">
        <v>317</v>
      </c>
      <c r="M73" s="23" t="s">
        <v>313</v>
      </c>
      <c r="N73" s="36"/>
    </row>
    <row r="74" spans="1:16" x14ac:dyDescent="0.35">
      <c r="A74" s="2">
        <v>487</v>
      </c>
      <c r="B74" s="3" t="s">
        <v>233</v>
      </c>
      <c r="C74" s="23">
        <v>488</v>
      </c>
      <c r="D74" s="24"/>
      <c r="E74" s="24" t="s">
        <v>316</v>
      </c>
      <c r="F74" s="39" t="s">
        <v>325</v>
      </c>
      <c r="G74" s="36" t="str">
        <f t="shared" ca="1" si="2"/>
        <v>4 THN 1 BLN</v>
      </c>
      <c r="H74" s="35">
        <v>37795</v>
      </c>
      <c r="I74" s="36" t="str">
        <f t="shared" ca="1" si="3"/>
        <v>23 THN 2 BLN</v>
      </c>
      <c r="J74" s="64" t="s">
        <v>378</v>
      </c>
      <c r="K74" s="59" t="s">
        <v>317</v>
      </c>
      <c r="L74" s="40" t="s">
        <v>317</v>
      </c>
      <c r="M74" s="23" t="s">
        <v>313</v>
      </c>
      <c r="N74" s="36"/>
    </row>
    <row r="75" spans="1:16" x14ac:dyDescent="0.35">
      <c r="A75" s="2">
        <v>488</v>
      </c>
      <c r="B75" s="3" t="s">
        <v>234</v>
      </c>
      <c r="C75" s="23" t="s">
        <v>25</v>
      </c>
      <c r="D75" s="24"/>
      <c r="E75" s="24" t="s">
        <v>316</v>
      </c>
      <c r="F75" s="35">
        <v>44760</v>
      </c>
      <c r="G75" s="36" t="str">
        <f t="shared" ca="1" si="2"/>
        <v>4 THN 1 BLN</v>
      </c>
      <c r="H75" s="35">
        <v>38159</v>
      </c>
      <c r="I75" s="36" t="str">
        <f t="shared" ca="1" si="3"/>
        <v>22 THN 2 BLN</v>
      </c>
      <c r="J75" s="64" t="s">
        <v>377</v>
      </c>
      <c r="K75" s="59" t="s">
        <v>317</v>
      </c>
      <c r="L75" s="40" t="s">
        <v>317</v>
      </c>
      <c r="M75" s="23" t="s">
        <v>309</v>
      </c>
      <c r="N75" s="36" t="s">
        <v>312</v>
      </c>
    </row>
    <row r="76" spans="1:16" x14ac:dyDescent="0.35">
      <c r="A76" s="2">
        <v>498</v>
      </c>
      <c r="B76" s="3" t="s">
        <v>236</v>
      </c>
      <c r="C76" s="23" t="s">
        <v>6</v>
      </c>
      <c r="D76" s="24" t="s">
        <v>192</v>
      </c>
      <c r="E76" s="24" t="s">
        <v>316</v>
      </c>
      <c r="F76" s="35">
        <v>44848</v>
      </c>
      <c r="G76" s="36" t="str">
        <f t="shared" ca="1" si="2"/>
        <v>3 THN 10 BLN</v>
      </c>
      <c r="H76" s="35">
        <v>32841</v>
      </c>
      <c r="I76" s="36" t="str">
        <f t="shared" ca="1" si="3"/>
        <v>36 THN 9 BLN</v>
      </c>
      <c r="J76" s="64" t="s">
        <v>378</v>
      </c>
      <c r="K76" s="59" t="s">
        <v>317</v>
      </c>
      <c r="L76" s="40" t="s">
        <v>317</v>
      </c>
      <c r="M76" s="23" t="s">
        <v>308</v>
      </c>
      <c r="N76" s="36" t="s">
        <v>6</v>
      </c>
    </row>
    <row r="77" spans="1:16" x14ac:dyDescent="0.35">
      <c r="A77" s="2">
        <v>499</v>
      </c>
      <c r="B77" s="3" t="s">
        <v>237</v>
      </c>
      <c r="C77" s="23" t="s">
        <v>69</v>
      </c>
      <c r="D77" s="24"/>
      <c r="E77" s="24" t="s">
        <v>316</v>
      </c>
      <c r="F77" s="35">
        <v>44862</v>
      </c>
      <c r="G77" s="36" t="str">
        <f t="shared" ca="1" si="2"/>
        <v>3 THN 10 BLN</v>
      </c>
      <c r="H77" s="35">
        <v>37002</v>
      </c>
      <c r="I77" s="36" t="str">
        <f t="shared" ca="1" si="3"/>
        <v>25 THN 4 BLN</v>
      </c>
      <c r="J77" s="64" t="s">
        <v>377</v>
      </c>
      <c r="K77" s="59" t="s">
        <v>317</v>
      </c>
      <c r="L77" s="40" t="s">
        <v>317</v>
      </c>
      <c r="M77" s="23" t="s">
        <v>309</v>
      </c>
      <c r="N77" s="36" t="s">
        <v>311</v>
      </c>
    </row>
    <row r="78" spans="1:16" hidden="1" x14ac:dyDescent="0.35">
      <c r="A78" s="2">
        <v>500</v>
      </c>
      <c r="B78" s="3" t="s">
        <v>238</v>
      </c>
      <c r="C78" s="23" t="s">
        <v>6</v>
      </c>
      <c r="D78" s="24" t="s">
        <v>192</v>
      </c>
      <c r="E78" s="24" t="s">
        <v>291</v>
      </c>
      <c r="F78" s="35">
        <v>44872</v>
      </c>
      <c r="G78" s="36" t="str">
        <f t="shared" ca="1" si="2"/>
        <v>3 THN 9 BLN</v>
      </c>
      <c r="H78" s="35">
        <v>34406</v>
      </c>
      <c r="I78" s="36" t="str">
        <f t="shared" ca="1" si="3"/>
        <v>32 THN 5 BLN</v>
      </c>
      <c r="J78" s="64" t="s">
        <v>377</v>
      </c>
      <c r="K78" s="59" t="s">
        <v>317</v>
      </c>
      <c r="L78" s="40" t="s">
        <v>317</v>
      </c>
      <c r="M78" s="23" t="s">
        <v>313</v>
      </c>
      <c r="N78" s="36"/>
      <c r="O78" s="7">
        <v>46221</v>
      </c>
      <c r="P78" s="1" t="s">
        <v>436</v>
      </c>
    </row>
    <row r="79" spans="1:16" x14ac:dyDescent="0.35">
      <c r="A79" s="2">
        <v>508</v>
      </c>
      <c r="B79" s="3" t="s">
        <v>239</v>
      </c>
      <c r="C79" s="23" t="s">
        <v>192</v>
      </c>
      <c r="D79" s="24"/>
      <c r="E79" s="24" t="s">
        <v>316</v>
      </c>
      <c r="F79" s="39" t="s">
        <v>326</v>
      </c>
      <c r="G79" s="36" t="str">
        <f t="shared" ca="1" si="2"/>
        <v>3 THN 8 BLN</v>
      </c>
      <c r="H79" s="35">
        <v>38255</v>
      </c>
      <c r="I79" s="36" t="str">
        <f t="shared" ca="1" si="3"/>
        <v>21 THN 11 BLN</v>
      </c>
      <c r="J79" s="64" t="s">
        <v>377</v>
      </c>
      <c r="K79" s="59" t="s">
        <v>317</v>
      </c>
      <c r="L79" s="40" t="s">
        <v>317</v>
      </c>
      <c r="M79" s="23" t="s">
        <v>313</v>
      </c>
      <c r="N79" s="36"/>
    </row>
    <row r="80" spans="1:16" x14ac:dyDescent="0.35">
      <c r="A80" s="2">
        <v>510</v>
      </c>
      <c r="B80" s="3" t="s">
        <v>240</v>
      </c>
      <c r="C80" s="23" t="s">
        <v>6</v>
      </c>
      <c r="D80" s="24" t="s">
        <v>192</v>
      </c>
      <c r="E80" s="24" t="s">
        <v>316</v>
      </c>
      <c r="F80" s="35">
        <v>44942</v>
      </c>
      <c r="G80" s="36" t="str">
        <f t="shared" ca="1" si="2"/>
        <v>3 THN 7 BLN</v>
      </c>
      <c r="H80" s="35">
        <v>33332</v>
      </c>
      <c r="I80" s="36" t="str">
        <f t="shared" ca="1" si="3"/>
        <v>35 THN 4 BLN</v>
      </c>
      <c r="J80" s="64" t="s">
        <v>378</v>
      </c>
      <c r="K80" s="59" t="s">
        <v>317</v>
      </c>
      <c r="L80" s="40" t="s">
        <v>317</v>
      </c>
      <c r="M80" s="23" t="s">
        <v>313</v>
      </c>
      <c r="N80" s="36"/>
    </row>
    <row r="81" spans="1:16" x14ac:dyDescent="0.35">
      <c r="A81" s="2">
        <v>514</v>
      </c>
      <c r="B81" s="3" t="s">
        <v>242</v>
      </c>
      <c r="C81" s="23" t="s">
        <v>34</v>
      </c>
      <c r="D81" s="24" t="s">
        <v>223</v>
      </c>
      <c r="E81" s="24" t="s">
        <v>316</v>
      </c>
      <c r="F81" s="39" t="s">
        <v>327</v>
      </c>
      <c r="G81" s="36" t="str">
        <f t="shared" ca="1" si="2"/>
        <v>3 THN 3 BLN</v>
      </c>
      <c r="H81" s="35">
        <v>38144</v>
      </c>
      <c r="I81" s="36" t="str">
        <f t="shared" ca="1" si="3"/>
        <v>22 THN 2 BLN</v>
      </c>
      <c r="J81" s="64" t="s">
        <v>378</v>
      </c>
      <c r="K81" s="59" t="s">
        <v>317</v>
      </c>
      <c r="L81" s="40" t="s">
        <v>317</v>
      </c>
      <c r="M81" s="23" t="s">
        <v>313</v>
      </c>
      <c r="N81" s="36"/>
    </row>
    <row r="82" spans="1:16" hidden="1" x14ac:dyDescent="0.35">
      <c r="A82" s="2">
        <v>517</v>
      </c>
      <c r="B82" s="3" t="s">
        <v>243</v>
      </c>
      <c r="C82" s="23" t="s">
        <v>69</v>
      </c>
      <c r="D82" s="24"/>
      <c r="E82" s="24" t="s">
        <v>291</v>
      </c>
      <c r="F82" s="35">
        <v>45075</v>
      </c>
      <c r="G82" s="36" t="str">
        <f t="shared" ca="1" si="2"/>
        <v>3 THN 3 BLN</v>
      </c>
      <c r="H82" s="35">
        <v>36871</v>
      </c>
      <c r="I82" s="36" t="str">
        <f t="shared" ca="1" si="3"/>
        <v>25 THN 8 BLN</v>
      </c>
      <c r="J82" s="64" t="s">
        <v>377</v>
      </c>
      <c r="K82" s="59" t="s">
        <v>317</v>
      </c>
      <c r="L82" s="40" t="s">
        <v>317</v>
      </c>
      <c r="M82" s="23" t="s">
        <v>309</v>
      </c>
      <c r="N82" s="36" t="s">
        <v>311</v>
      </c>
      <c r="O82" s="7">
        <v>46120</v>
      </c>
      <c r="P82" s="1" t="s">
        <v>384</v>
      </c>
    </row>
    <row r="83" spans="1:16" x14ac:dyDescent="0.35">
      <c r="A83" s="2">
        <v>531</v>
      </c>
      <c r="B83" s="3" t="s">
        <v>244</v>
      </c>
      <c r="C83" s="23" t="s">
        <v>192</v>
      </c>
      <c r="D83" s="24"/>
      <c r="E83" s="24" t="s">
        <v>316</v>
      </c>
      <c r="F83" s="39" t="s">
        <v>328</v>
      </c>
      <c r="G83" s="36" t="str">
        <f t="shared" ca="1" si="2"/>
        <v>3 THN 2 BLN</v>
      </c>
      <c r="H83" s="35">
        <v>37918</v>
      </c>
      <c r="I83" s="36" t="str">
        <f t="shared" ca="1" si="3"/>
        <v>22 THN 10 BLN</v>
      </c>
      <c r="J83" s="64" t="s">
        <v>377</v>
      </c>
      <c r="K83" s="59" t="s">
        <v>317</v>
      </c>
      <c r="L83" s="40" t="s">
        <v>317</v>
      </c>
      <c r="M83" s="23" t="s">
        <v>313</v>
      </c>
      <c r="N83" s="36"/>
    </row>
    <row r="84" spans="1:16" x14ac:dyDescent="0.35">
      <c r="A84" s="2">
        <v>534</v>
      </c>
      <c r="B84" s="3" t="s">
        <v>245</v>
      </c>
      <c r="C84" s="23" t="s">
        <v>34</v>
      </c>
      <c r="D84" s="24" t="s">
        <v>203</v>
      </c>
      <c r="E84" s="24" t="s">
        <v>316</v>
      </c>
      <c r="F84" s="39" t="s">
        <v>329</v>
      </c>
      <c r="G84" s="36" t="str">
        <f t="shared" ca="1" si="2"/>
        <v>3 THN 1 BLN</v>
      </c>
      <c r="H84" s="35">
        <v>38453</v>
      </c>
      <c r="I84" s="36" t="str">
        <f t="shared" ca="1" si="3"/>
        <v>21 THN 4 BLN</v>
      </c>
      <c r="J84" s="64" t="s">
        <v>377</v>
      </c>
      <c r="K84" s="59" t="s">
        <v>317</v>
      </c>
      <c r="L84" s="40" t="s">
        <v>317</v>
      </c>
      <c r="M84" s="23" t="s">
        <v>313</v>
      </c>
      <c r="N84" s="36"/>
    </row>
    <row r="85" spans="1:16" hidden="1" x14ac:dyDescent="0.35">
      <c r="A85" s="2">
        <v>549</v>
      </c>
      <c r="B85" s="3" t="s">
        <v>246</v>
      </c>
      <c r="C85" s="23" t="s">
        <v>88</v>
      </c>
      <c r="D85" s="24"/>
      <c r="E85" s="24" t="s">
        <v>291</v>
      </c>
      <c r="F85" s="39" t="s">
        <v>330</v>
      </c>
      <c r="G85" s="36" t="str">
        <f t="shared" ca="1" si="2"/>
        <v>2 THN 8 BLN</v>
      </c>
      <c r="H85" s="35">
        <v>37295</v>
      </c>
      <c r="I85" s="36" t="str">
        <f t="shared" ca="1" si="3"/>
        <v>24 THN 6 BLN</v>
      </c>
      <c r="J85" s="64" t="s">
        <v>378</v>
      </c>
      <c r="K85" s="59" t="s">
        <v>317</v>
      </c>
      <c r="L85" s="40" t="s">
        <v>317</v>
      </c>
      <c r="M85" s="23" t="s">
        <v>313</v>
      </c>
      <c r="N85" s="36"/>
      <c r="O85" s="1" t="s">
        <v>380</v>
      </c>
      <c r="P85" s="1" t="s">
        <v>381</v>
      </c>
    </row>
    <row r="86" spans="1:16" x14ac:dyDescent="0.35">
      <c r="A86" s="2">
        <v>551</v>
      </c>
      <c r="B86" s="3" t="s">
        <v>247</v>
      </c>
      <c r="C86" s="23" t="s">
        <v>192</v>
      </c>
      <c r="D86" s="24"/>
      <c r="E86" s="24" t="s">
        <v>316</v>
      </c>
      <c r="F86" s="39" t="s">
        <v>331</v>
      </c>
      <c r="G86" s="36" t="str">
        <f t="shared" ca="1" si="2"/>
        <v>2 THN 7 BLN</v>
      </c>
      <c r="H86" s="35">
        <v>37338</v>
      </c>
      <c r="I86" s="36" t="str">
        <f t="shared" ca="1" si="3"/>
        <v>24 THN 5 BLN</v>
      </c>
      <c r="J86" s="64" t="s">
        <v>377</v>
      </c>
      <c r="K86" s="59" t="s">
        <v>317</v>
      </c>
      <c r="L86" s="40" t="s">
        <v>317</v>
      </c>
      <c r="M86" s="23" t="s">
        <v>313</v>
      </c>
      <c r="N86" s="36"/>
    </row>
    <row r="87" spans="1:16" x14ac:dyDescent="0.35">
      <c r="A87" s="2">
        <v>553</v>
      </c>
      <c r="B87" s="3" t="s">
        <v>248</v>
      </c>
      <c r="C87" s="23" t="s">
        <v>34</v>
      </c>
      <c r="D87" s="24" t="s">
        <v>204</v>
      </c>
      <c r="E87" s="24" t="s">
        <v>316</v>
      </c>
      <c r="F87" s="39" t="s">
        <v>332</v>
      </c>
      <c r="G87" s="36" t="str">
        <f t="shared" ca="1" si="2"/>
        <v>2 THN 6 BLN</v>
      </c>
      <c r="H87" s="35">
        <v>37565</v>
      </c>
      <c r="I87" s="36" t="str">
        <f t="shared" ca="1" si="3"/>
        <v>23 THN 9 BLN</v>
      </c>
      <c r="J87" s="64" t="s">
        <v>377</v>
      </c>
      <c r="K87" s="59" t="s">
        <v>317</v>
      </c>
      <c r="L87" s="40" t="s">
        <v>317</v>
      </c>
      <c r="M87" s="23" t="s">
        <v>309</v>
      </c>
      <c r="N87" s="36" t="s">
        <v>312</v>
      </c>
    </row>
    <row r="88" spans="1:16" x14ac:dyDescent="0.35">
      <c r="A88" s="2">
        <v>558</v>
      </c>
      <c r="B88" s="3" t="s">
        <v>249</v>
      </c>
      <c r="C88" s="23" t="s">
        <v>33</v>
      </c>
      <c r="D88" s="24"/>
      <c r="E88" s="24" t="s">
        <v>316</v>
      </c>
      <c r="F88" s="39" t="s">
        <v>333</v>
      </c>
      <c r="G88" s="36" t="str">
        <f t="shared" ca="1" si="2"/>
        <v>2 THN 5 BLN</v>
      </c>
      <c r="H88" s="35">
        <v>33832</v>
      </c>
      <c r="I88" s="36" t="str">
        <f t="shared" ca="1" si="3"/>
        <v>34 THN 0 BLN</v>
      </c>
      <c r="J88" s="64" t="s">
        <v>377</v>
      </c>
      <c r="K88" s="59" t="s">
        <v>317</v>
      </c>
      <c r="L88" s="40" t="s">
        <v>317</v>
      </c>
      <c r="M88" s="23" t="s">
        <v>309</v>
      </c>
      <c r="N88" s="36" t="s">
        <v>312</v>
      </c>
    </row>
    <row r="89" spans="1:16" hidden="1" x14ac:dyDescent="0.35">
      <c r="A89" s="2">
        <v>561</v>
      </c>
      <c r="B89" s="3" t="s">
        <v>250</v>
      </c>
      <c r="C89" s="23" t="s">
        <v>6</v>
      </c>
      <c r="D89" s="24"/>
      <c r="E89" s="24" t="s">
        <v>291</v>
      </c>
      <c r="F89" s="35">
        <v>45411</v>
      </c>
      <c r="G89" s="36" t="str">
        <f t="shared" ca="1" si="2"/>
        <v>2 THN 4 BLN</v>
      </c>
      <c r="H89" s="35">
        <v>37122</v>
      </c>
      <c r="I89" s="36" t="str">
        <f t="shared" ca="1" si="3"/>
        <v>25 THN 0 BLN</v>
      </c>
      <c r="J89" s="64" t="s">
        <v>377</v>
      </c>
      <c r="K89" s="59" t="s">
        <v>317</v>
      </c>
      <c r="L89" s="40" t="s">
        <v>317</v>
      </c>
      <c r="M89" s="23" t="s">
        <v>313</v>
      </c>
      <c r="N89" s="36"/>
      <c r="O89" s="7">
        <v>46153</v>
      </c>
      <c r="P89" s="1" t="s">
        <v>429</v>
      </c>
    </row>
    <row r="90" spans="1:16" x14ac:dyDescent="0.35">
      <c r="A90" s="2">
        <v>565</v>
      </c>
      <c r="B90" s="3" t="s">
        <v>251</v>
      </c>
      <c r="C90" s="23" t="s">
        <v>34</v>
      </c>
      <c r="D90" s="24" t="s">
        <v>203</v>
      </c>
      <c r="E90" s="24" t="s">
        <v>316</v>
      </c>
      <c r="F90" s="39" t="s">
        <v>334</v>
      </c>
      <c r="G90" s="36" t="str">
        <f t="shared" ca="1" si="2"/>
        <v>2 THN 3 BLN</v>
      </c>
      <c r="H90" s="35">
        <v>38755</v>
      </c>
      <c r="I90" s="36" t="str">
        <f t="shared" ca="1" si="3"/>
        <v>20 THN 6 BLN</v>
      </c>
      <c r="J90" s="64" t="s">
        <v>377</v>
      </c>
      <c r="K90" s="59" t="s">
        <v>317</v>
      </c>
      <c r="L90" s="40" t="s">
        <v>317</v>
      </c>
      <c r="M90" s="23" t="s">
        <v>313</v>
      </c>
      <c r="N90" s="36"/>
    </row>
    <row r="91" spans="1:16" x14ac:dyDescent="0.35">
      <c r="A91" s="2">
        <v>568</v>
      </c>
      <c r="B91" s="58" t="s">
        <v>252</v>
      </c>
      <c r="C91" s="23" t="s">
        <v>34</v>
      </c>
      <c r="D91" s="24" t="s">
        <v>253</v>
      </c>
      <c r="E91" s="24" t="s">
        <v>316</v>
      </c>
      <c r="F91" s="39" t="s">
        <v>335</v>
      </c>
      <c r="G91" s="36" t="str">
        <f t="shared" ca="1" si="2"/>
        <v>2 THN 2 BLN</v>
      </c>
      <c r="H91" s="35">
        <v>38474</v>
      </c>
      <c r="I91" s="36" t="str">
        <f t="shared" ca="1" si="3"/>
        <v>21 THN 3 BLN</v>
      </c>
      <c r="J91" s="64" t="s">
        <v>377</v>
      </c>
      <c r="K91" s="59" t="s">
        <v>317</v>
      </c>
      <c r="L91" s="40" t="s">
        <v>317</v>
      </c>
      <c r="M91" s="23" t="s">
        <v>319</v>
      </c>
      <c r="N91" s="36"/>
    </row>
    <row r="92" spans="1:16" x14ac:dyDescent="0.35">
      <c r="A92" s="2">
        <v>574</v>
      </c>
      <c r="B92" s="3" t="s">
        <v>254</v>
      </c>
      <c r="C92" s="23" t="s">
        <v>6</v>
      </c>
      <c r="D92" s="24"/>
      <c r="E92" s="24" t="s">
        <v>316</v>
      </c>
      <c r="F92" s="35">
        <v>45475</v>
      </c>
      <c r="G92" s="36" t="str">
        <f t="shared" ca="1" si="2"/>
        <v>2 THN 1 BLN</v>
      </c>
      <c r="H92" s="35">
        <v>35715</v>
      </c>
      <c r="I92" s="36" t="str">
        <f t="shared" ca="1" si="3"/>
        <v>28 THN 10 BLN</v>
      </c>
      <c r="J92" s="64" t="s">
        <v>378</v>
      </c>
      <c r="K92" s="59" t="s">
        <v>317</v>
      </c>
      <c r="L92" s="40" t="s">
        <v>317</v>
      </c>
      <c r="M92" s="23" t="s">
        <v>313</v>
      </c>
      <c r="N92" s="36"/>
    </row>
    <row r="93" spans="1:16" x14ac:dyDescent="0.35">
      <c r="A93" s="2">
        <v>575</v>
      </c>
      <c r="B93" s="58" t="s">
        <v>371</v>
      </c>
      <c r="C93" s="23" t="s">
        <v>25</v>
      </c>
      <c r="D93" s="24"/>
      <c r="E93" s="24" t="s">
        <v>316</v>
      </c>
      <c r="F93" s="39" t="s">
        <v>336</v>
      </c>
      <c r="G93" s="36" t="str">
        <f t="shared" ca="1" si="2"/>
        <v>2 THN 1 BLN</v>
      </c>
      <c r="H93" s="35">
        <v>38029</v>
      </c>
      <c r="I93" s="36" t="str">
        <f t="shared" ca="1" si="3"/>
        <v>22 THN 6 BLN</v>
      </c>
      <c r="J93" s="64" t="s">
        <v>377</v>
      </c>
      <c r="K93" s="59" t="s">
        <v>317</v>
      </c>
      <c r="L93" s="40" t="s">
        <v>317</v>
      </c>
      <c r="M93" s="23" t="s">
        <v>319</v>
      </c>
      <c r="N93" s="36"/>
    </row>
    <row r="94" spans="1:16" x14ac:dyDescent="0.35">
      <c r="A94" s="2">
        <v>586</v>
      </c>
      <c r="B94" s="3" t="s">
        <v>256</v>
      </c>
      <c r="C94" s="23" t="s">
        <v>34</v>
      </c>
      <c r="D94" s="24" t="s">
        <v>203</v>
      </c>
      <c r="E94" s="24" t="s">
        <v>316</v>
      </c>
      <c r="F94" s="39" t="s">
        <v>337</v>
      </c>
      <c r="G94" s="36" t="str">
        <f t="shared" ca="1" si="2"/>
        <v>2 THN 0 BLN</v>
      </c>
      <c r="H94" s="35">
        <v>37663</v>
      </c>
      <c r="I94" s="36" t="str">
        <f t="shared" ca="1" si="3"/>
        <v>23 THN 6 BLN</v>
      </c>
      <c r="J94" s="64" t="s">
        <v>377</v>
      </c>
      <c r="K94" s="59" t="s">
        <v>317</v>
      </c>
      <c r="L94" s="40" t="s">
        <v>317</v>
      </c>
      <c r="M94" s="23" t="s">
        <v>313</v>
      </c>
      <c r="N94" s="36"/>
    </row>
    <row r="95" spans="1:16" x14ac:dyDescent="0.35">
      <c r="A95" s="2">
        <v>588</v>
      </c>
      <c r="B95" s="3" t="s">
        <v>257</v>
      </c>
      <c r="C95" s="23" t="s">
        <v>88</v>
      </c>
      <c r="D95" s="24"/>
      <c r="E95" s="24" t="s">
        <v>316</v>
      </c>
      <c r="F95" s="39" t="s">
        <v>338</v>
      </c>
      <c r="G95" s="36" t="str">
        <f t="shared" ca="1" si="2"/>
        <v>2 THN 0 BLN</v>
      </c>
      <c r="H95" s="35">
        <v>36708</v>
      </c>
      <c r="I95" s="36" t="str">
        <f t="shared" ca="1" si="3"/>
        <v>26 THN 1 BLN</v>
      </c>
      <c r="J95" s="64" t="s">
        <v>378</v>
      </c>
      <c r="K95" s="59" t="s">
        <v>317</v>
      </c>
      <c r="L95" s="40" t="s">
        <v>317</v>
      </c>
      <c r="M95" s="23" t="s">
        <v>313</v>
      </c>
      <c r="N95" s="36"/>
    </row>
    <row r="96" spans="1:16" x14ac:dyDescent="0.35">
      <c r="A96" s="2">
        <v>589</v>
      </c>
      <c r="B96" s="3" t="s">
        <v>258</v>
      </c>
      <c r="C96" s="23" t="s">
        <v>88</v>
      </c>
      <c r="D96" s="24"/>
      <c r="E96" s="24" t="s">
        <v>316</v>
      </c>
      <c r="F96" s="39" t="s">
        <v>338</v>
      </c>
      <c r="G96" s="36" t="str">
        <f t="shared" ca="1" si="2"/>
        <v>2 THN 0 BLN</v>
      </c>
      <c r="H96" s="35">
        <v>33906</v>
      </c>
      <c r="I96" s="36" t="str">
        <f t="shared" ca="1" si="3"/>
        <v>33 THN 10 BLN</v>
      </c>
      <c r="J96" s="64" t="s">
        <v>378</v>
      </c>
      <c r="K96" s="59" t="s">
        <v>317</v>
      </c>
      <c r="L96" s="40" t="s">
        <v>317</v>
      </c>
      <c r="M96" s="23" t="s">
        <v>313</v>
      </c>
      <c r="N96" s="36"/>
    </row>
    <row r="97" spans="1:16" x14ac:dyDescent="0.35">
      <c r="A97" s="2">
        <v>591</v>
      </c>
      <c r="B97" s="3" t="s">
        <v>259</v>
      </c>
      <c r="C97" s="23" t="s">
        <v>33</v>
      </c>
      <c r="D97" s="24"/>
      <c r="E97" s="24" t="s">
        <v>316</v>
      </c>
      <c r="F97" s="39" t="s">
        <v>339</v>
      </c>
      <c r="G97" s="36" t="str">
        <f t="shared" ca="1" si="2"/>
        <v>2 THN 0 BLN</v>
      </c>
      <c r="H97" s="35">
        <v>34131</v>
      </c>
      <c r="I97" s="36" t="str">
        <f t="shared" ca="1" si="3"/>
        <v>33 THN 2 BLN</v>
      </c>
      <c r="J97" s="64" t="s">
        <v>377</v>
      </c>
      <c r="K97" s="59" t="s">
        <v>317</v>
      </c>
      <c r="L97" s="40" t="s">
        <v>317</v>
      </c>
      <c r="M97" s="23" t="s">
        <v>309</v>
      </c>
      <c r="N97" s="36" t="s">
        <v>312</v>
      </c>
    </row>
    <row r="98" spans="1:16" x14ac:dyDescent="0.35">
      <c r="A98" s="2">
        <v>594</v>
      </c>
      <c r="B98" s="3" t="s">
        <v>260</v>
      </c>
      <c r="C98" s="23" t="s">
        <v>199</v>
      </c>
      <c r="D98" s="24"/>
      <c r="E98" s="24" t="s">
        <v>316</v>
      </c>
      <c r="F98" s="35">
        <v>45532</v>
      </c>
      <c r="G98" s="36" t="str">
        <f t="shared" ca="1" si="2"/>
        <v>2 THN 0 BLN</v>
      </c>
      <c r="H98" s="35">
        <v>33466</v>
      </c>
      <c r="I98" s="36" t="str">
        <f t="shared" ca="1" si="3"/>
        <v>35 THN 0 BLN</v>
      </c>
      <c r="J98" s="64" t="s">
        <v>377</v>
      </c>
      <c r="K98" s="59" t="s">
        <v>317</v>
      </c>
      <c r="L98" s="40" t="s">
        <v>317</v>
      </c>
      <c r="M98" s="23" t="s">
        <v>313</v>
      </c>
      <c r="N98" s="36"/>
    </row>
    <row r="99" spans="1:16" hidden="1" x14ac:dyDescent="0.35">
      <c r="A99" s="2">
        <v>595</v>
      </c>
      <c r="B99" s="3" t="s">
        <v>261</v>
      </c>
      <c r="C99" s="23" t="s">
        <v>199</v>
      </c>
      <c r="D99" s="24"/>
      <c r="E99" s="24" t="s">
        <v>291</v>
      </c>
      <c r="F99" s="35">
        <v>45532</v>
      </c>
      <c r="G99" s="36" t="str">
        <f t="shared" ca="1" si="2"/>
        <v>2 THN 0 BLN</v>
      </c>
      <c r="H99" s="35">
        <v>31422</v>
      </c>
      <c r="I99" s="36" t="str">
        <f t="shared" ca="1" si="3"/>
        <v>40 THN 7 BLN</v>
      </c>
      <c r="J99" s="64" t="s">
        <v>377</v>
      </c>
      <c r="K99" s="59" t="s">
        <v>317</v>
      </c>
      <c r="L99" s="40" t="s">
        <v>317</v>
      </c>
      <c r="M99" s="23" t="s">
        <v>313</v>
      </c>
      <c r="N99" s="36"/>
      <c r="O99" s="7">
        <v>46093</v>
      </c>
      <c r="P99" s="1" t="s">
        <v>430</v>
      </c>
    </row>
    <row r="100" spans="1:16" x14ac:dyDescent="0.35">
      <c r="A100" s="2">
        <v>597</v>
      </c>
      <c r="B100" s="3" t="s">
        <v>262</v>
      </c>
      <c r="C100" s="23" t="s">
        <v>34</v>
      </c>
      <c r="D100" s="24"/>
      <c r="E100" s="24" t="s">
        <v>316</v>
      </c>
      <c r="F100" s="35">
        <v>45536</v>
      </c>
      <c r="G100" s="36" t="str">
        <f t="shared" ca="1" si="2"/>
        <v>1 THN 11 BLN</v>
      </c>
      <c r="H100" s="35">
        <v>38851</v>
      </c>
      <c r="I100" s="36" t="str">
        <f t="shared" ca="1" si="3"/>
        <v>20 THN 3 BLN</v>
      </c>
      <c r="J100" s="64" t="s">
        <v>377</v>
      </c>
      <c r="K100" s="59" t="s">
        <v>317</v>
      </c>
      <c r="L100" s="40" t="s">
        <v>317</v>
      </c>
      <c r="M100" s="23" t="s">
        <v>313</v>
      </c>
      <c r="N100" s="36"/>
    </row>
    <row r="101" spans="1:16" x14ac:dyDescent="0.35">
      <c r="A101" s="2">
        <v>608</v>
      </c>
      <c r="B101" s="3" t="s">
        <v>264</v>
      </c>
      <c r="C101" s="23" t="s">
        <v>25</v>
      </c>
      <c r="D101" s="24"/>
      <c r="E101" s="24" t="s">
        <v>316</v>
      </c>
      <c r="F101" s="39" t="s">
        <v>345</v>
      </c>
      <c r="G101" s="36" t="str">
        <f t="shared" ca="1" si="2"/>
        <v>1 THN 10 BLN</v>
      </c>
      <c r="H101" s="35">
        <v>36104</v>
      </c>
      <c r="I101" s="36" t="str">
        <f t="shared" ca="1" si="3"/>
        <v>27 THN 9 BLN</v>
      </c>
      <c r="J101" s="64" t="s">
        <v>377</v>
      </c>
      <c r="K101" s="59" t="s">
        <v>317</v>
      </c>
      <c r="L101" s="40" t="s">
        <v>317</v>
      </c>
      <c r="M101" s="23" t="s">
        <v>309</v>
      </c>
      <c r="N101" s="36" t="s">
        <v>312</v>
      </c>
    </row>
    <row r="102" spans="1:16" x14ac:dyDescent="0.35">
      <c r="A102" s="2">
        <v>611</v>
      </c>
      <c r="B102" s="3" t="s">
        <v>265</v>
      </c>
      <c r="C102" s="23" t="s">
        <v>207</v>
      </c>
      <c r="D102" s="24"/>
      <c r="E102" s="24" t="s">
        <v>316</v>
      </c>
      <c r="F102" s="39" t="s">
        <v>346</v>
      </c>
      <c r="G102" s="36" t="str">
        <f t="shared" ca="1" si="2"/>
        <v>1 THN 10 BLN</v>
      </c>
      <c r="H102" s="35">
        <v>34927</v>
      </c>
      <c r="I102" s="36" t="str">
        <f t="shared" ca="1" si="3"/>
        <v>31 THN 0 BLN</v>
      </c>
      <c r="J102" s="64" t="s">
        <v>377</v>
      </c>
      <c r="K102" s="59" t="s">
        <v>317</v>
      </c>
      <c r="L102" s="40" t="s">
        <v>317</v>
      </c>
      <c r="M102" s="23" t="s">
        <v>309</v>
      </c>
      <c r="N102" s="36" t="s">
        <v>312</v>
      </c>
    </row>
    <row r="103" spans="1:16" x14ac:dyDescent="0.35">
      <c r="A103" s="2">
        <v>614</v>
      </c>
      <c r="B103" s="3" t="s">
        <v>266</v>
      </c>
      <c r="C103" s="23" t="s">
        <v>34</v>
      </c>
      <c r="D103" s="24" t="s">
        <v>204</v>
      </c>
      <c r="E103" s="24" t="s">
        <v>316</v>
      </c>
      <c r="F103" s="39" t="s">
        <v>347</v>
      </c>
      <c r="G103" s="36" t="str">
        <f t="shared" ca="1" si="2"/>
        <v>1 THN 8 BLN</v>
      </c>
      <c r="H103" s="35">
        <v>38716</v>
      </c>
      <c r="I103" s="36" t="str">
        <f t="shared" ca="1" si="3"/>
        <v>20 THN 7 BLN</v>
      </c>
      <c r="J103" s="64" t="s">
        <v>377</v>
      </c>
      <c r="K103" s="59" t="s">
        <v>317</v>
      </c>
      <c r="L103" s="40" t="s">
        <v>313</v>
      </c>
      <c r="M103" s="23" t="s">
        <v>313</v>
      </c>
      <c r="N103" s="36"/>
    </row>
    <row r="104" spans="1:16" x14ac:dyDescent="0.35">
      <c r="A104" s="2">
        <v>616</v>
      </c>
      <c r="B104" s="3" t="s">
        <v>267</v>
      </c>
      <c r="C104" s="23" t="s">
        <v>6</v>
      </c>
      <c r="D104" s="24"/>
      <c r="E104" s="24" t="s">
        <v>316</v>
      </c>
      <c r="F104" s="35">
        <v>45644</v>
      </c>
      <c r="G104" s="36" t="str">
        <f t="shared" ca="1" si="2"/>
        <v>1 THN 8 BLN</v>
      </c>
      <c r="H104" s="35">
        <v>35577</v>
      </c>
      <c r="I104" s="36" t="str">
        <f t="shared" ca="1" si="3"/>
        <v>29 THN 3 BLN</v>
      </c>
      <c r="J104" s="64" t="s">
        <v>378</v>
      </c>
      <c r="K104" s="59" t="s">
        <v>317</v>
      </c>
      <c r="L104" s="40" t="s">
        <v>317</v>
      </c>
      <c r="M104" s="23" t="s">
        <v>313</v>
      </c>
      <c r="N104" s="36"/>
    </row>
    <row r="105" spans="1:16" hidden="1" x14ac:dyDescent="0.35">
      <c r="A105" s="2">
        <v>617</v>
      </c>
      <c r="B105" s="3" t="s">
        <v>268</v>
      </c>
      <c r="C105" s="23" t="s">
        <v>6</v>
      </c>
      <c r="D105" s="24"/>
      <c r="E105" s="24" t="s">
        <v>291</v>
      </c>
      <c r="F105" s="35">
        <v>45644</v>
      </c>
      <c r="G105" s="36" t="str">
        <f t="shared" ca="1" si="2"/>
        <v>1 THN 8 BLN</v>
      </c>
      <c r="H105" s="35">
        <v>38822</v>
      </c>
      <c r="I105" s="36" t="str">
        <f t="shared" ca="1" si="3"/>
        <v>20 THN 4 BLN</v>
      </c>
      <c r="J105" s="64" t="s">
        <v>378</v>
      </c>
      <c r="K105" s="59" t="s">
        <v>317</v>
      </c>
      <c r="L105" s="40" t="s">
        <v>317</v>
      </c>
      <c r="M105" s="23" t="s">
        <v>313</v>
      </c>
      <c r="N105" s="36"/>
      <c r="O105" s="7">
        <v>46179</v>
      </c>
      <c r="P105" s="1" t="s">
        <v>431</v>
      </c>
    </row>
    <row r="106" spans="1:16" x14ac:dyDescent="0.35">
      <c r="A106" s="2">
        <v>621</v>
      </c>
      <c r="B106" s="3" t="s">
        <v>269</v>
      </c>
      <c r="C106" s="24" t="s">
        <v>34</v>
      </c>
      <c r="D106" s="24" t="s">
        <v>208</v>
      </c>
      <c r="E106" s="24" t="s">
        <v>316</v>
      </c>
      <c r="F106" s="39" t="s">
        <v>348</v>
      </c>
      <c r="G106" s="36" t="str">
        <f t="shared" ca="1" si="2"/>
        <v>1 THN 7 BLN</v>
      </c>
      <c r="H106" s="35">
        <v>38671</v>
      </c>
      <c r="I106" s="36" t="str">
        <f t="shared" ca="1" si="3"/>
        <v>20 THN 9 BLN</v>
      </c>
      <c r="J106" s="64" t="s">
        <v>377</v>
      </c>
      <c r="K106" s="59" t="s">
        <v>317</v>
      </c>
      <c r="L106" s="40" t="s">
        <v>317</v>
      </c>
      <c r="M106" s="23" t="s">
        <v>313</v>
      </c>
      <c r="N106" s="36"/>
    </row>
    <row r="107" spans="1:16" x14ac:dyDescent="0.35">
      <c r="A107" s="2">
        <v>622</v>
      </c>
      <c r="B107" s="3" t="s">
        <v>270</v>
      </c>
      <c r="C107" s="24" t="s">
        <v>34</v>
      </c>
      <c r="D107" s="24"/>
      <c r="E107" s="24" t="s">
        <v>316</v>
      </c>
      <c r="F107" s="35">
        <v>45924</v>
      </c>
      <c r="G107" s="36" t="str">
        <f t="shared" ca="1" si="2"/>
        <v>0 THN 11 BLN</v>
      </c>
      <c r="H107" s="69">
        <v>37788</v>
      </c>
      <c r="I107" s="56" t="str">
        <f t="shared" ca="1" si="3"/>
        <v>23 THN 2 BLN</v>
      </c>
      <c r="J107" s="65" t="s">
        <v>377</v>
      </c>
      <c r="K107" s="61" t="s">
        <v>362</v>
      </c>
      <c r="L107" s="40" t="s">
        <v>313</v>
      </c>
      <c r="M107" s="23" t="s">
        <v>313</v>
      </c>
      <c r="N107" s="36"/>
    </row>
    <row r="108" spans="1:16" x14ac:dyDescent="0.35">
      <c r="A108" s="2">
        <v>633</v>
      </c>
      <c r="B108" s="3" t="s">
        <v>271</v>
      </c>
      <c r="C108" s="23" t="s">
        <v>34</v>
      </c>
      <c r="D108" s="24"/>
      <c r="E108" s="24" t="s">
        <v>316</v>
      </c>
      <c r="F108" s="35">
        <v>45698</v>
      </c>
      <c r="G108" s="36" t="str">
        <f t="shared" ca="1" si="2"/>
        <v>1 THN 6 BLN</v>
      </c>
      <c r="H108" s="35">
        <v>36791</v>
      </c>
      <c r="I108" s="36" t="str">
        <f t="shared" ca="1" si="3"/>
        <v>25 THN 11 BLN</v>
      </c>
      <c r="J108" s="64" t="s">
        <v>377</v>
      </c>
      <c r="K108" s="59" t="s">
        <v>317</v>
      </c>
      <c r="L108" s="40" t="s">
        <v>317</v>
      </c>
      <c r="M108" s="23" t="s">
        <v>313</v>
      </c>
      <c r="N108" s="36"/>
    </row>
    <row r="109" spans="1:16" x14ac:dyDescent="0.35">
      <c r="A109" s="2">
        <v>638</v>
      </c>
      <c r="B109" s="3" t="s">
        <v>340</v>
      </c>
      <c r="C109" s="23" t="s">
        <v>6</v>
      </c>
      <c r="D109" s="24" t="s">
        <v>192</v>
      </c>
      <c r="E109" s="24" t="s">
        <v>316</v>
      </c>
      <c r="F109" s="35">
        <v>45700</v>
      </c>
      <c r="G109" s="36" t="str">
        <f t="shared" ca="1" si="2"/>
        <v>1 THN 6 BLN</v>
      </c>
      <c r="H109" s="35">
        <v>37395</v>
      </c>
      <c r="I109" s="36" t="str">
        <f t="shared" ca="1" si="3"/>
        <v>24 THN 3 BLN</v>
      </c>
      <c r="J109" s="64" t="s">
        <v>377</v>
      </c>
      <c r="K109" s="59" t="s">
        <v>317</v>
      </c>
      <c r="L109" s="40" t="s">
        <v>317</v>
      </c>
      <c r="M109" s="23" t="s">
        <v>313</v>
      </c>
      <c r="N109" s="36"/>
    </row>
    <row r="110" spans="1:16" hidden="1" x14ac:dyDescent="0.35">
      <c r="A110" s="2">
        <v>644</v>
      </c>
      <c r="B110" s="3" t="s">
        <v>272</v>
      </c>
      <c r="C110" s="23" t="s">
        <v>6</v>
      </c>
      <c r="D110" s="24" t="s">
        <v>192</v>
      </c>
      <c r="E110" s="24" t="s">
        <v>291</v>
      </c>
      <c r="F110" s="35">
        <v>45712</v>
      </c>
      <c r="G110" s="36" t="str">
        <f t="shared" ca="1" si="2"/>
        <v>1 THN 6 BLN</v>
      </c>
      <c r="H110" s="35">
        <v>33979</v>
      </c>
      <c r="I110" s="36" t="str">
        <f t="shared" ca="1" si="3"/>
        <v>33 THN 7 BLN</v>
      </c>
      <c r="J110" s="64" t="s">
        <v>378</v>
      </c>
      <c r="K110" s="59" t="s">
        <v>317</v>
      </c>
      <c r="L110" s="40" t="s">
        <v>317</v>
      </c>
      <c r="M110" s="23" t="s">
        <v>313</v>
      </c>
      <c r="N110" s="36"/>
      <c r="O110" s="7">
        <v>46172</v>
      </c>
      <c r="P110" s="1" t="s">
        <v>431</v>
      </c>
    </row>
    <row r="111" spans="1:16" x14ac:dyDescent="0.35">
      <c r="A111" s="2">
        <v>650</v>
      </c>
      <c r="B111" s="3" t="s">
        <v>273</v>
      </c>
      <c r="C111" s="23" t="s">
        <v>34</v>
      </c>
      <c r="D111" s="24" t="s">
        <v>223</v>
      </c>
      <c r="E111" s="24" t="s">
        <v>316</v>
      </c>
      <c r="F111" s="39" t="s">
        <v>349</v>
      </c>
      <c r="G111" s="36" t="str">
        <f t="shared" ca="1" si="2"/>
        <v>1 THN 5 BLN</v>
      </c>
      <c r="H111" s="35">
        <v>37084</v>
      </c>
      <c r="I111" s="36" t="str">
        <f t="shared" ca="1" si="3"/>
        <v>25 THN 1 BLN</v>
      </c>
      <c r="J111" s="64" t="s">
        <v>378</v>
      </c>
      <c r="K111" s="59" t="s">
        <v>317</v>
      </c>
      <c r="L111" s="40" t="s">
        <v>317</v>
      </c>
      <c r="M111" s="23" t="s">
        <v>313</v>
      </c>
      <c r="N111" s="36"/>
    </row>
    <row r="112" spans="1:16" x14ac:dyDescent="0.35">
      <c r="A112" s="2">
        <v>655</v>
      </c>
      <c r="B112" s="3" t="s">
        <v>274</v>
      </c>
      <c r="C112" s="23" t="s">
        <v>69</v>
      </c>
      <c r="D112" s="24"/>
      <c r="E112" s="24" t="s">
        <v>316</v>
      </c>
      <c r="F112" s="39" t="s">
        <v>350</v>
      </c>
      <c r="G112" s="36" t="str">
        <f t="shared" ca="1" si="2"/>
        <v>1 THN 5 BLN</v>
      </c>
      <c r="H112" s="35">
        <v>35293</v>
      </c>
      <c r="I112" s="36" t="str">
        <f t="shared" ca="1" si="3"/>
        <v>30 THN 0 BLN</v>
      </c>
      <c r="J112" s="64" t="s">
        <v>377</v>
      </c>
      <c r="K112" s="59" t="s">
        <v>317</v>
      </c>
      <c r="L112" s="40" t="s">
        <v>313</v>
      </c>
      <c r="M112" s="23" t="s">
        <v>309</v>
      </c>
      <c r="N112" s="36" t="s">
        <v>311</v>
      </c>
    </row>
    <row r="113" spans="1:16" x14ac:dyDescent="0.35">
      <c r="A113" s="2">
        <v>661</v>
      </c>
      <c r="B113" s="3" t="s">
        <v>275</v>
      </c>
      <c r="C113" s="23" t="s">
        <v>192</v>
      </c>
      <c r="D113" s="24"/>
      <c r="E113" s="24" t="s">
        <v>316</v>
      </c>
      <c r="F113" s="39" t="s">
        <v>351</v>
      </c>
      <c r="G113" s="36" t="str">
        <f t="shared" ca="1" si="2"/>
        <v>1 THN 3 BLN</v>
      </c>
      <c r="H113" s="35">
        <v>39028</v>
      </c>
      <c r="I113" s="36" t="str">
        <f t="shared" ca="1" si="3"/>
        <v>19 THN 9 BLN</v>
      </c>
      <c r="J113" s="64" t="s">
        <v>377</v>
      </c>
      <c r="K113" s="59" t="s">
        <v>317</v>
      </c>
      <c r="L113" s="40" t="s">
        <v>313</v>
      </c>
      <c r="M113" s="23" t="s">
        <v>313</v>
      </c>
      <c r="N113" s="36"/>
    </row>
    <row r="114" spans="1:16" x14ac:dyDescent="0.35">
      <c r="A114" s="2">
        <v>662</v>
      </c>
      <c r="B114" s="3" t="s">
        <v>276</v>
      </c>
      <c r="C114" s="23" t="s">
        <v>192</v>
      </c>
      <c r="D114" s="24"/>
      <c r="E114" s="24" t="s">
        <v>316</v>
      </c>
      <c r="F114" s="39" t="s">
        <v>352</v>
      </c>
      <c r="G114" s="36" t="str">
        <f t="shared" ca="1" si="2"/>
        <v>1 THN 3 BLN</v>
      </c>
      <c r="H114" s="35">
        <v>36803</v>
      </c>
      <c r="I114" s="36" t="str">
        <f t="shared" ca="1" si="3"/>
        <v>25 THN 10 BLN</v>
      </c>
      <c r="J114" s="64" t="s">
        <v>377</v>
      </c>
      <c r="K114" s="59" t="s">
        <v>317</v>
      </c>
      <c r="L114" s="40" t="s">
        <v>313</v>
      </c>
      <c r="M114" s="23" t="s">
        <v>313</v>
      </c>
      <c r="N114" s="36"/>
    </row>
    <row r="115" spans="1:16" x14ac:dyDescent="0.35">
      <c r="A115" s="12">
        <v>669</v>
      </c>
      <c r="B115" s="13" t="s">
        <v>277</v>
      </c>
      <c r="C115" s="25" t="s">
        <v>6</v>
      </c>
      <c r="D115" s="25" t="s">
        <v>36</v>
      </c>
      <c r="E115" s="24" t="s">
        <v>316</v>
      </c>
      <c r="F115" s="35">
        <v>45812</v>
      </c>
      <c r="G115" s="36" t="str">
        <f t="shared" ca="1" si="2"/>
        <v>1 THN 2 BLN</v>
      </c>
      <c r="H115" s="35">
        <v>35341</v>
      </c>
      <c r="I115" s="36" t="str">
        <f t="shared" ca="1" si="3"/>
        <v>29 THN 10 BLN</v>
      </c>
      <c r="J115" s="64" t="s">
        <v>378</v>
      </c>
      <c r="K115" s="59" t="s">
        <v>317</v>
      </c>
      <c r="L115" s="40" t="s">
        <v>317</v>
      </c>
      <c r="M115" s="23" t="s">
        <v>313</v>
      </c>
      <c r="N115" s="36"/>
    </row>
    <row r="116" spans="1:16" x14ac:dyDescent="0.35">
      <c r="A116" s="2">
        <v>673</v>
      </c>
      <c r="B116" s="3" t="s">
        <v>278</v>
      </c>
      <c r="C116" s="23" t="s">
        <v>6</v>
      </c>
      <c r="D116" s="24"/>
      <c r="E116" s="24" t="s">
        <v>316</v>
      </c>
      <c r="F116" s="35">
        <v>45847</v>
      </c>
      <c r="G116" s="36" t="str">
        <f t="shared" ca="1" si="2"/>
        <v>1 THN 1 BLN</v>
      </c>
      <c r="H116" s="35">
        <v>33401</v>
      </c>
      <c r="I116" s="36" t="str">
        <f t="shared" ca="1" si="3"/>
        <v>35 THN 2 BLN</v>
      </c>
      <c r="J116" s="64" t="s">
        <v>378</v>
      </c>
      <c r="K116" s="59" t="s">
        <v>317</v>
      </c>
      <c r="L116" s="40" t="s">
        <v>313</v>
      </c>
      <c r="M116" s="23" t="s">
        <v>313</v>
      </c>
      <c r="N116" s="36"/>
    </row>
    <row r="117" spans="1:16" hidden="1" x14ac:dyDescent="0.35">
      <c r="A117" s="2">
        <v>675</v>
      </c>
      <c r="B117" s="3" t="s">
        <v>279</v>
      </c>
      <c r="C117" s="26" t="s">
        <v>6</v>
      </c>
      <c r="D117" s="27" t="s">
        <v>206</v>
      </c>
      <c r="E117" s="24" t="s">
        <v>291</v>
      </c>
      <c r="F117" s="35">
        <v>45862</v>
      </c>
      <c r="G117" s="36" t="str">
        <f t="shared" ca="1" si="2"/>
        <v>1 THN 1 BLN</v>
      </c>
      <c r="H117" s="35">
        <v>34539</v>
      </c>
      <c r="I117" s="36" t="str">
        <f t="shared" ca="1" si="3"/>
        <v>32 THN 1 BLN</v>
      </c>
      <c r="J117" s="64" t="s">
        <v>377</v>
      </c>
      <c r="K117" s="59" t="s">
        <v>317</v>
      </c>
      <c r="L117" s="40" t="s">
        <v>317</v>
      </c>
      <c r="M117" s="23" t="s">
        <v>313</v>
      </c>
      <c r="N117" s="36"/>
      <c r="O117" s="7">
        <v>46116</v>
      </c>
      <c r="P117" s="1" t="s">
        <v>432</v>
      </c>
    </row>
    <row r="118" spans="1:16" x14ac:dyDescent="0.35">
      <c r="A118" s="2">
        <v>676</v>
      </c>
      <c r="B118" s="3" t="s">
        <v>280</v>
      </c>
      <c r="C118" s="26" t="s">
        <v>6</v>
      </c>
      <c r="D118" s="27"/>
      <c r="E118" s="24" t="s">
        <v>316</v>
      </c>
      <c r="F118" s="35">
        <v>45895</v>
      </c>
      <c r="G118" s="36" t="str">
        <f t="shared" ca="1" si="2"/>
        <v>1 THN 0 BLN</v>
      </c>
      <c r="H118" s="35">
        <v>34149</v>
      </c>
      <c r="I118" s="36" t="str">
        <f t="shared" ca="1" si="3"/>
        <v>33 THN 2 BLN</v>
      </c>
      <c r="J118" s="64" t="s">
        <v>377</v>
      </c>
      <c r="K118" s="59" t="s">
        <v>317</v>
      </c>
      <c r="L118" s="40" t="s">
        <v>317</v>
      </c>
      <c r="M118" s="23" t="s">
        <v>313</v>
      </c>
      <c r="N118" s="36"/>
    </row>
    <row r="119" spans="1:16" hidden="1" x14ac:dyDescent="0.35">
      <c r="A119" s="2">
        <v>677</v>
      </c>
      <c r="B119" s="58" t="s">
        <v>281</v>
      </c>
      <c r="C119" s="26" t="s">
        <v>207</v>
      </c>
      <c r="D119" s="27"/>
      <c r="E119" s="24" t="s">
        <v>291</v>
      </c>
      <c r="F119" s="39" t="s">
        <v>353</v>
      </c>
      <c r="G119" s="36" t="str">
        <f t="shared" ca="1" si="2"/>
        <v>1 THN 0 BLN</v>
      </c>
      <c r="H119" s="35">
        <v>29756</v>
      </c>
      <c r="I119" s="36" t="str">
        <f t="shared" ca="1" si="3"/>
        <v>45 THN 2 BLN</v>
      </c>
      <c r="J119" s="64" t="s">
        <v>377</v>
      </c>
      <c r="K119" s="59" t="s">
        <v>317</v>
      </c>
      <c r="L119" s="40" t="s">
        <v>313</v>
      </c>
      <c r="M119" s="23" t="s">
        <v>319</v>
      </c>
      <c r="N119" s="57" t="s">
        <v>361</v>
      </c>
      <c r="O119" s="7">
        <v>46228</v>
      </c>
      <c r="P119" s="1" t="s">
        <v>435</v>
      </c>
    </row>
    <row r="120" spans="1:16" x14ac:dyDescent="0.35">
      <c r="A120" s="2">
        <v>694</v>
      </c>
      <c r="B120" s="3" t="s">
        <v>289</v>
      </c>
      <c r="C120" s="26" t="s">
        <v>6</v>
      </c>
      <c r="D120" s="27"/>
      <c r="E120" s="24" t="s">
        <v>316</v>
      </c>
      <c r="F120" s="35">
        <v>45910</v>
      </c>
      <c r="G120" s="36" t="str">
        <f t="shared" ca="1" si="2"/>
        <v>0 THN 11 BLN</v>
      </c>
      <c r="H120" s="35">
        <v>34224</v>
      </c>
      <c r="I120" s="36" t="str">
        <f t="shared" ca="1" si="3"/>
        <v>32 THN 11 BLN</v>
      </c>
      <c r="J120" s="64" t="s">
        <v>378</v>
      </c>
      <c r="K120" s="59" t="s">
        <v>317</v>
      </c>
      <c r="L120" s="40" t="s">
        <v>1</v>
      </c>
      <c r="M120" s="23" t="s">
        <v>313</v>
      </c>
      <c r="N120" s="51"/>
    </row>
    <row r="121" spans="1:16" x14ac:dyDescent="0.35">
      <c r="A121" s="2">
        <v>696</v>
      </c>
      <c r="B121" s="3" t="s">
        <v>292</v>
      </c>
      <c r="C121" s="26" t="s">
        <v>34</v>
      </c>
      <c r="D121" s="27" t="s">
        <v>293</v>
      </c>
      <c r="E121" s="24" t="s">
        <v>316</v>
      </c>
      <c r="F121" s="39" t="s">
        <v>354</v>
      </c>
      <c r="G121" s="36" t="str">
        <f t="shared" ca="1" si="2"/>
        <v>0 THN 11 BLN</v>
      </c>
      <c r="H121" s="35">
        <v>34179</v>
      </c>
      <c r="I121" s="36" t="str">
        <f t="shared" ca="1" si="3"/>
        <v>33 THN 1 BLN</v>
      </c>
      <c r="J121" s="64" t="s">
        <v>377</v>
      </c>
      <c r="K121" s="59" t="s">
        <v>317</v>
      </c>
      <c r="L121" s="40" t="s">
        <v>313</v>
      </c>
      <c r="M121" s="23" t="s">
        <v>313</v>
      </c>
      <c r="N121" s="51"/>
    </row>
    <row r="122" spans="1:16" x14ac:dyDescent="0.35">
      <c r="A122" s="2">
        <v>697</v>
      </c>
      <c r="B122" s="3" t="s">
        <v>294</v>
      </c>
      <c r="C122" s="23" t="s">
        <v>6</v>
      </c>
      <c r="D122" s="24" t="s">
        <v>192</v>
      </c>
      <c r="E122" s="24" t="s">
        <v>316</v>
      </c>
      <c r="F122" s="35">
        <v>45915</v>
      </c>
      <c r="G122" s="36" t="str">
        <f t="shared" ca="1" si="2"/>
        <v>0 THN 11 BLN</v>
      </c>
      <c r="H122" s="35">
        <v>37271</v>
      </c>
      <c r="I122" s="36" t="str">
        <f t="shared" ca="1" si="3"/>
        <v>24 THN 7 BLN</v>
      </c>
      <c r="J122" s="64" t="s">
        <v>378</v>
      </c>
      <c r="K122" s="59" t="s">
        <v>317</v>
      </c>
      <c r="L122" s="40" t="s">
        <v>317</v>
      </c>
      <c r="M122" s="23" t="s">
        <v>313</v>
      </c>
      <c r="N122" s="51"/>
    </row>
    <row r="123" spans="1:16" x14ac:dyDescent="0.35">
      <c r="A123" s="2">
        <v>698</v>
      </c>
      <c r="B123" s="3" t="s">
        <v>295</v>
      </c>
      <c r="C123" s="23" t="s">
        <v>88</v>
      </c>
      <c r="D123" s="24"/>
      <c r="E123" s="24" t="s">
        <v>316</v>
      </c>
      <c r="F123" s="39" t="s">
        <v>355</v>
      </c>
      <c r="G123" s="36" t="str">
        <f t="shared" ca="1" si="2"/>
        <v>0 THN 11 BLN</v>
      </c>
      <c r="H123" s="35">
        <v>35394</v>
      </c>
      <c r="I123" s="36" t="str">
        <f t="shared" ca="1" si="3"/>
        <v>29 THN 9 BLN</v>
      </c>
      <c r="J123" s="64" t="s">
        <v>378</v>
      </c>
      <c r="K123" s="59" t="s">
        <v>317</v>
      </c>
      <c r="L123" s="40" t="s">
        <v>407</v>
      </c>
      <c r="M123" s="23" t="s">
        <v>313</v>
      </c>
      <c r="N123" s="51"/>
    </row>
    <row r="124" spans="1:16" x14ac:dyDescent="0.35">
      <c r="A124" s="2">
        <v>701</v>
      </c>
      <c r="B124" s="3" t="s">
        <v>298</v>
      </c>
      <c r="C124" s="23" t="s">
        <v>34</v>
      </c>
      <c r="D124" s="24" t="s">
        <v>293</v>
      </c>
      <c r="E124" s="24" t="s">
        <v>316</v>
      </c>
      <c r="F124" s="39" t="s">
        <v>356</v>
      </c>
      <c r="G124" s="36" t="str">
        <f t="shared" ca="1" si="2"/>
        <v>0 THN 11 BLN</v>
      </c>
      <c r="H124" s="35">
        <v>37880</v>
      </c>
      <c r="I124" s="36" t="str">
        <f t="shared" ca="1" si="3"/>
        <v>22 THN 11 BLN</v>
      </c>
      <c r="J124" s="64" t="s">
        <v>377</v>
      </c>
      <c r="K124" s="59" t="s">
        <v>317</v>
      </c>
      <c r="L124" s="40" t="s">
        <v>313</v>
      </c>
      <c r="M124" s="23" t="s">
        <v>313</v>
      </c>
      <c r="N124" s="51"/>
    </row>
    <row r="125" spans="1:16" x14ac:dyDescent="0.35">
      <c r="A125" s="2">
        <v>702</v>
      </c>
      <c r="B125" s="58" t="s">
        <v>299</v>
      </c>
      <c r="C125" s="23" t="s">
        <v>25</v>
      </c>
      <c r="D125" s="24"/>
      <c r="E125" s="24" t="s">
        <v>316</v>
      </c>
      <c r="F125" s="39" t="s">
        <v>357</v>
      </c>
      <c r="G125" s="36" t="str">
        <f t="shared" ca="1" si="2"/>
        <v>0 THN 11 BLN</v>
      </c>
      <c r="H125" s="35">
        <v>36864</v>
      </c>
      <c r="I125" s="36" t="str">
        <f t="shared" ca="1" si="3"/>
        <v>25 THN 8 BLN</v>
      </c>
      <c r="J125" s="64" t="s">
        <v>377</v>
      </c>
      <c r="K125" s="59" t="s">
        <v>317</v>
      </c>
      <c r="L125" s="40" t="s">
        <v>313</v>
      </c>
      <c r="M125" s="23" t="s">
        <v>319</v>
      </c>
      <c r="N125" s="57" t="s">
        <v>360</v>
      </c>
    </row>
    <row r="126" spans="1:16" x14ac:dyDescent="0.35">
      <c r="A126" s="2">
        <v>705</v>
      </c>
      <c r="B126" s="3" t="s">
        <v>302</v>
      </c>
      <c r="C126" s="23" t="s">
        <v>34</v>
      </c>
      <c r="D126" s="24" t="s">
        <v>223</v>
      </c>
      <c r="E126" s="24" t="s">
        <v>316</v>
      </c>
      <c r="F126" s="39" t="s">
        <v>358</v>
      </c>
      <c r="G126" s="36" t="str">
        <f t="shared" ca="1" si="2"/>
        <v>0 THN 11 BLN</v>
      </c>
      <c r="H126" s="35">
        <v>36415</v>
      </c>
      <c r="I126" s="36" t="str">
        <f t="shared" ca="1" si="3"/>
        <v>26 THN 11 BLN</v>
      </c>
      <c r="J126" s="64" t="s">
        <v>378</v>
      </c>
      <c r="K126" s="59" t="s">
        <v>317</v>
      </c>
      <c r="L126" s="40" t="s">
        <v>313</v>
      </c>
      <c r="M126" s="23" t="s">
        <v>313</v>
      </c>
      <c r="N126" s="51"/>
    </row>
    <row r="127" spans="1:16" ht="15" thickBot="1" x14ac:dyDescent="0.4">
      <c r="A127" s="2">
        <v>706</v>
      </c>
      <c r="B127" s="3" t="s">
        <v>303</v>
      </c>
      <c r="C127" s="23" t="s">
        <v>34</v>
      </c>
      <c r="D127" s="24" t="s">
        <v>293</v>
      </c>
      <c r="E127" s="24" t="s">
        <v>316</v>
      </c>
      <c r="F127" s="39" t="s">
        <v>359</v>
      </c>
      <c r="G127" s="36" t="str">
        <f t="shared" ca="1" si="2"/>
        <v>0 THN 11 BLN</v>
      </c>
      <c r="H127" s="35">
        <v>35478</v>
      </c>
      <c r="I127" s="36" t="str">
        <f t="shared" ca="1" si="3"/>
        <v>29 THN 6 BLN</v>
      </c>
      <c r="J127" s="64" t="s">
        <v>377</v>
      </c>
      <c r="K127" s="59" t="s">
        <v>317</v>
      </c>
      <c r="L127" s="53" t="s">
        <v>317</v>
      </c>
      <c r="M127" s="23" t="s">
        <v>313</v>
      </c>
      <c r="N127" s="51"/>
    </row>
    <row r="128" spans="1:16" ht="15" thickBot="1" x14ac:dyDescent="0.4">
      <c r="A128" s="2">
        <v>707</v>
      </c>
      <c r="B128" s="3" t="s">
        <v>304</v>
      </c>
      <c r="C128" s="23" t="s">
        <v>34</v>
      </c>
      <c r="D128" s="24" t="s">
        <v>293</v>
      </c>
      <c r="E128" s="24" t="s">
        <v>316</v>
      </c>
      <c r="F128" s="39" t="s">
        <v>359</v>
      </c>
      <c r="G128" s="36" t="str">
        <f t="shared" ref="G128:G139" ca="1" si="4">DATEDIF(F128,TODAY(),"Y")&amp; " THN "&amp;DATEDIF(F128,TODAY(),"YM")&amp;" BLN"</f>
        <v>0 THN 11 BLN</v>
      </c>
      <c r="H128" s="35">
        <v>36969</v>
      </c>
      <c r="I128" s="36" t="str">
        <f t="shared" ref="I128:I141" ca="1" si="5">DATEDIF(H128,TODAY(),"Y")&amp; " THN "&amp;DATEDIF(H128,TODAY(),"YM")&amp;" BLN"</f>
        <v>25 THN 5 BLN</v>
      </c>
      <c r="J128" s="64" t="s">
        <v>377</v>
      </c>
      <c r="K128" s="59" t="s">
        <v>317</v>
      </c>
      <c r="L128" s="53" t="s">
        <v>317</v>
      </c>
      <c r="M128" s="23" t="s">
        <v>313</v>
      </c>
      <c r="N128" s="51"/>
    </row>
    <row r="129" spans="1:19" ht="15" thickBot="1" x14ac:dyDescent="0.4">
      <c r="A129" s="2">
        <v>708</v>
      </c>
      <c r="B129" s="58" t="s">
        <v>305</v>
      </c>
      <c r="C129" s="23" t="s">
        <v>6</v>
      </c>
      <c r="D129" s="24"/>
      <c r="E129" s="24" t="s">
        <v>316</v>
      </c>
      <c r="F129" s="43">
        <v>45931</v>
      </c>
      <c r="G129" s="44" t="str">
        <f t="shared" ca="1" si="4"/>
        <v>0 THN 10 BLN</v>
      </c>
      <c r="H129" s="43">
        <v>36505</v>
      </c>
      <c r="I129" s="44" t="str">
        <f t="shared" ca="1" si="5"/>
        <v>26 THN 8 BLN</v>
      </c>
      <c r="J129" s="66" t="s">
        <v>377</v>
      </c>
      <c r="K129" s="63" t="s">
        <v>317</v>
      </c>
      <c r="L129" s="53" t="s">
        <v>317</v>
      </c>
      <c r="M129" s="54" t="s">
        <v>319</v>
      </c>
      <c r="N129" s="55"/>
    </row>
    <row r="130" spans="1:19" x14ac:dyDescent="0.35">
      <c r="A130" s="2">
        <v>709</v>
      </c>
      <c r="B130" s="3" t="s">
        <v>364</v>
      </c>
      <c r="C130" s="23" t="s">
        <v>6</v>
      </c>
      <c r="D130" s="24" t="s">
        <v>150</v>
      </c>
      <c r="E130" s="24" t="s">
        <v>316</v>
      </c>
      <c r="F130" s="39">
        <v>46013</v>
      </c>
      <c r="G130" s="36" t="str">
        <f t="shared" ca="1" si="4"/>
        <v>0 THN 8 BLN</v>
      </c>
      <c r="H130" s="35">
        <v>36778</v>
      </c>
      <c r="I130" s="36" t="str">
        <f t="shared" ca="1" si="5"/>
        <v>25 THN 11 BLN</v>
      </c>
      <c r="J130" s="64" t="s">
        <v>378</v>
      </c>
      <c r="K130" s="59" t="s">
        <v>317</v>
      </c>
      <c r="L130" s="23" t="s">
        <v>317</v>
      </c>
      <c r="M130" s="23" t="s">
        <v>313</v>
      </c>
      <c r="N130" s="51"/>
    </row>
    <row r="131" spans="1:19" x14ac:dyDescent="0.35">
      <c r="A131" s="2">
        <v>710</v>
      </c>
      <c r="B131" s="3" t="s">
        <v>365</v>
      </c>
      <c r="C131" s="23" t="s">
        <v>6</v>
      </c>
      <c r="D131" s="24" t="s">
        <v>366</v>
      </c>
      <c r="E131" s="24" t="s">
        <v>316</v>
      </c>
      <c r="F131" s="39">
        <v>46062</v>
      </c>
      <c r="G131" s="36" t="str">
        <f t="shared" ca="1" si="4"/>
        <v>0 THN 6 BLN</v>
      </c>
      <c r="H131" s="35">
        <v>33010</v>
      </c>
      <c r="I131" s="36" t="str">
        <f t="shared" ca="1" si="5"/>
        <v>36 THN 3 BLN</v>
      </c>
      <c r="J131" s="64" t="s">
        <v>378</v>
      </c>
      <c r="K131" s="59" t="s">
        <v>317</v>
      </c>
      <c r="L131" s="23" t="s">
        <v>317</v>
      </c>
      <c r="M131" s="23" t="s">
        <v>313</v>
      </c>
      <c r="N131" s="51"/>
    </row>
    <row r="132" spans="1:19" x14ac:dyDescent="0.35">
      <c r="A132" s="2">
        <v>711</v>
      </c>
      <c r="B132" s="3" t="s">
        <v>369</v>
      </c>
      <c r="C132" s="23" t="s">
        <v>370</v>
      </c>
      <c r="D132" s="24" t="s">
        <v>229</v>
      </c>
      <c r="E132" s="24" t="s">
        <v>316</v>
      </c>
      <c r="F132" s="39">
        <v>46069</v>
      </c>
      <c r="G132" s="36" t="str">
        <f t="shared" ca="1" si="4"/>
        <v>0 THN 6 BLN</v>
      </c>
      <c r="H132" s="35">
        <v>33194</v>
      </c>
      <c r="I132" s="36" t="str">
        <f t="shared" ca="1" si="5"/>
        <v>35 THN 9 BLN</v>
      </c>
      <c r="J132" s="64" t="s">
        <v>377</v>
      </c>
      <c r="K132" s="59" t="s">
        <v>317</v>
      </c>
      <c r="L132" s="23" t="s">
        <v>407</v>
      </c>
      <c r="M132" s="23" t="s">
        <v>313</v>
      </c>
      <c r="N132" s="51"/>
    </row>
    <row r="133" spans="1:19" x14ac:dyDescent="0.35">
      <c r="A133" s="2">
        <v>712</v>
      </c>
      <c r="B133" s="3" t="s">
        <v>367</v>
      </c>
      <c r="C133" s="23" t="s">
        <v>6</v>
      </c>
      <c r="D133" s="24" t="s">
        <v>366</v>
      </c>
      <c r="E133" s="24" t="s">
        <v>316</v>
      </c>
      <c r="F133" s="39">
        <v>46071</v>
      </c>
      <c r="G133" s="36" t="str">
        <f t="shared" ca="1" si="4"/>
        <v>0 THN 6 BLN</v>
      </c>
      <c r="H133" s="35">
        <v>36022</v>
      </c>
      <c r="I133" s="36" t="str">
        <f t="shared" ca="1" si="5"/>
        <v>28 THN 0 BLN</v>
      </c>
      <c r="J133" s="64" t="s">
        <v>378</v>
      </c>
      <c r="K133" s="59" t="s">
        <v>317</v>
      </c>
      <c r="L133" s="23" t="s">
        <v>317</v>
      </c>
      <c r="M133" s="23" t="s">
        <v>313</v>
      </c>
      <c r="N133" s="51"/>
    </row>
    <row r="134" spans="1:19" x14ac:dyDescent="0.35">
      <c r="A134" s="2">
        <v>713</v>
      </c>
      <c r="B134" s="3" t="s">
        <v>374</v>
      </c>
      <c r="C134" s="23" t="s">
        <v>6</v>
      </c>
      <c r="D134" s="24" t="s">
        <v>13</v>
      </c>
      <c r="E134" s="24" t="s">
        <v>316</v>
      </c>
      <c r="F134" s="39">
        <v>46071</v>
      </c>
      <c r="G134" s="36" t="str">
        <f t="shared" ca="1" si="4"/>
        <v>0 THN 6 BLN</v>
      </c>
      <c r="H134" s="35">
        <v>37501</v>
      </c>
      <c r="I134" s="36" t="str">
        <f t="shared" ca="1" si="5"/>
        <v>23 THN 11 BLN</v>
      </c>
      <c r="J134" s="64" t="s">
        <v>378</v>
      </c>
      <c r="K134" s="59" t="s">
        <v>317</v>
      </c>
      <c r="L134" s="23" t="s">
        <v>317</v>
      </c>
      <c r="M134" s="23" t="s">
        <v>313</v>
      </c>
      <c r="N134" s="51"/>
    </row>
    <row r="135" spans="1:19" x14ac:dyDescent="0.35">
      <c r="A135" s="2">
        <v>716</v>
      </c>
      <c r="B135" s="3" t="s">
        <v>389</v>
      </c>
      <c r="C135" s="23" t="s">
        <v>199</v>
      </c>
      <c r="D135" s="24"/>
      <c r="E135" s="24" t="s">
        <v>316</v>
      </c>
      <c r="F135" s="39">
        <v>46128</v>
      </c>
      <c r="G135" s="36" t="str">
        <f t="shared" ca="1" si="4"/>
        <v>0 THN 4 BLN</v>
      </c>
      <c r="H135" s="35">
        <v>30328</v>
      </c>
      <c r="I135" s="36" t="str">
        <f t="shared" ca="1" si="5"/>
        <v>43 THN 7 BLN</v>
      </c>
      <c r="J135" s="64" t="s">
        <v>377</v>
      </c>
      <c r="K135" s="59" t="s">
        <v>317</v>
      </c>
      <c r="L135" s="23" t="s">
        <v>407</v>
      </c>
      <c r="M135" s="23" t="s">
        <v>313</v>
      </c>
      <c r="N135" s="51"/>
      <c r="O135" s="70" t="s">
        <v>390</v>
      </c>
      <c r="P135" s="70" t="s">
        <v>391</v>
      </c>
    </row>
    <row r="136" spans="1:19" x14ac:dyDescent="0.35">
      <c r="A136" s="2">
        <v>717</v>
      </c>
      <c r="B136" s="3" t="s">
        <v>385</v>
      </c>
      <c r="C136" s="23" t="s">
        <v>69</v>
      </c>
      <c r="D136" s="24" t="s">
        <v>386</v>
      </c>
      <c r="E136" s="24" t="s">
        <v>316</v>
      </c>
      <c r="F136" s="39">
        <v>46128</v>
      </c>
      <c r="G136" s="36" t="str">
        <f t="shared" ca="1" si="4"/>
        <v>0 THN 4 BLN</v>
      </c>
      <c r="H136" s="35">
        <v>31892</v>
      </c>
      <c r="I136" s="36" t="str">
        <f t="shared" ca="1" si="5"/>
        <v>39 THN 4 BLN</v>
      </c>
      <c r="J136" s="64" t="s">
        <v>377</v>
      </c>
      <c r="K136" s="59" t="s">
        <v>317</v>
      </c>
      <c r="L136" s="23" t="s">
        <v>407</v>
      </c>
      <c r="M136" s="23" t="s">
        <v>313</v>
      </c>
      <c r="N136" s="51"/>
      <c r="O136" s="70" t="s">
        <v>387</v>
      </c>
      <c r="P136" s="71" t="s">
        <v>388</v>
      </c>
    </row>
    <row r="137" spans="1:19" x14ac:dyDescent="0.35">
      <c r="A137" s="2">
        <v>718</v>
      </c>
      <c r="B137" s="3" t="s">
        <v>392</v>
      </c>
      <c r="C137" s="23" t="s">
        <v>34</v>
      </c>
      <c r="D137" s="24" t="s">
        <v>88</v>
      </c>
      <c r="E137" s="24" t="s">
        <v>316</v>
      </c>
      <c r="F137" s="39">
        <v>46146</v>
      </c>
      <c r="G137" s="36" t="str">
        <f t="shared" ca="1" si="4"/>
        <v>0 THN 3 BLN</v>
      </c>
      <c r="H137" s="35">
        <v>34835</v>
      </c>
      <c r="I137" s="36" t="str">
        <f t="shared" ca="1" si="5"/>
        <v>31 THN 3 BLN</v>
      </c>
      <c r="J137" s="64" t="s">
        <v>377</v>
      </c>
      <c r="K137" s="59" t="s">
        <v>317</v>
      </c>
      <c r="L137" s="23" t="s">
        <v>407</v>
      </c>
      <c r="M137" s="23" t="s">
        <v>313</v>
      </c>
      <c r="N137" s="51"/>
      <c r="O137" s="70" t="s">
        <v>396</v>
      </c>
      <c r="P137" s="70" t="s">
        <v>397</v>
      </c>
    </row>
    <row r="138" spans="1:19" hidden="1" x14ac:dyDescent="0.35">
      <c r="A138" s="2">
        <v>720</v>
      </c>
      <c r="B138" s="3" t="s">
        <v>398</v>
      </c>
      <c r="C138" s="23" t="s">
        <v>6</v>
      </c>
      <c r="D138" s="24" t="s">
        <v>149</v>
      </c>
      <c r="E138" s="24" t="s">
        <v>291</v>
      </c>
      <c r="F138" s="39">
        <v>46175</v>
      </c>
      <c r="G138" s="36" t="str">
        <f t="shared" ca="1" si="4"/>
        <v>0 THN 2 BLN</v>
      </c>
      <c r="H138" s="35">
        <v>35906</v>
      </c>
      <c r="I138" s="36" t="str">
        <f t="shared" ca="1" si="5"/>
        <v>28 THN 4 BLN</v>
      </c>
      <c r="J138" s="64" t="s">
        <v>378</v>
      </c>
      <c r="K138" s="59" t="s">
        <v>317</v>
      </c>
      <c r="L138" s="23" t="s">
        <v>313</v>
      </c>
      <c r="M138" s="23" t="s">
        <v>313</v>
      </c>
      <c r="N138" s="51"/>
      <c r="O138" s="70" t="s">
        <v>400</v>
      </c>
      <c r="P138" s="70" t="s">
        <v>399</v>
      </c>
      <c r="Q138" s="7">
        <v>46190</v>
      </c>
      <c r="R138" s="7" t="s">
        <v>432</v>
      </c>
      <c r="S138" s="1" t="s">
        <v>433</v>
      </c>
    </row>
    <row r="139" spans="1:19" x14ac:dyDescent="0.35">
      <c r="A139" s="2">
        <v>719</v>
      </c>
      <c r="B139" s="3" t="s">
        <v>405</v>
      </c>
      <c r="C139" s="23" t="s">
        <v>406</v>
      </c>
      <c r="D139" s="24"/>
      <c r="E139" s="24" t="s">
        <v>316</v>
      </c>
      <c r="F139" s="39">
        <v>46135</v>
      </c>
      <c r="G139" s="36" t="str">
        <f t="shared" ca="1" si="4"/>
        <v>0 THN 4 BLN</v>
      </c>
      <c r="H139" s="35">
        <v>37394</v>
      </c>
      <c r="I139" s="36" t="str">
        <f t="shared" ca="1" si="5"/>
        <v>24 THN 3 BLN</v>
      </c>
      <c r="J139" s="64" t="s">
        <v>378</v>
      </c>
      <c r="K139" s="59" t="s">
        <v>317</v>
      </c>
      <c r="L139" s="23" t="s">
        <v>407</v>
      </c>
      <c r="M139" s="23" t="s">
        <v>313</v>
      </c>
      <c r="N139" s="51"/>
      <c r="O139" s="70" t="s">
        <v>409</v>
      </c>
      <c r="P139" s="70" t="s">
        <v>408</v>
      </c>
    </row>
    <row r="140" spans="1:19" hidden="1" x14ac:dyDescent="0.35">
      <c r="A140" s="2">
        <v>721</v>
      </c>
      <c r="B140" s="3" t="s">
        <v>416</v>
      </c>
      <c r="C140" s="23" t="s">
        <v>6</v>
      </c>
      <c r="D140" s="24" t="s">
        <v>404</v>
      </c>
      <c r="E140" s="24" t="s">
        <v>291</v>
      </c>
      <c r="F140" s="39">
        <v>46188</v>
      </c>
      <c r="G140" s="36" t="str">
        <f t="shared" ref="G140" ca="1" si="6">DATEDIF(F140,TODAY(),"Y")&amp; " THN "&amp;DATEDIF(F140,TODAY(),"YM")&amp;" BLN"</f>
        <v>0 THN 2 BLN</v>
      </c>
      <c r="H140" s="35">
        <v>37942</v>
      </c>
      <c r="I140" s="36" t="str">
        <f t="shared" ca="1" si="5"/>
        <v>22 THN 9 BLN</v>
      </c>
      <c r="J140" s="64" t="s">
        <v>378</v>
      </c>
      <c r="K140" s="59" t="s">
        <v>317</v>
      </c>
      <c r="L140" s="23" t="s">
        <v>313</v>
      </c>
      <c r="M140" s="23" t="s">
        <v>313</v>
      </c>
      <c r="N140" s="51"/>
      <c r="O140" s="70" t="s">
        <v>418</v>
      </c>
      <c r="P140" s="70" t="s">
        <v>417</v>
      </c>
      <c r="Q140" s="7">
        <v>46218</v>
      </c>
      <c r="R140" s="7" t="s">
        <v>432</v>
      </c>
    </row>
    <row r="141" spans="1:19" x14ac:dyDescent="0.35">
      <c r="A141" s="2">
        <v>722</v>
      </c>
      <c r="B141" s="3" t="s">
        <v>410</v>
      </c>
      <c r="C141" s="23" t="s">
        <v>6</v>
      </c>
      <c r="D141" s="24" t="s">
        <v>411</v>
      </c>
      <c r="E141" s="24" t="s">
        <v>316</v>
      </c>
      <c r="F141" s="39">
        <v>46200</v>
      </c>
      <c r="G141" s="36" t="str">
        <f t="shared" ref="G141" ca="1" si="7">DATEDIF(F141,TODAY(),"Y")&amp; " THN "&amp;DATEDIF(F141,TODAY(),"YM")&amp;" BLN"</f>
        <v>0 THN 2 BLN</v>
      </c>
      <c r="H141" s="35">
        <v>36860</v>
      </c>
      <c r="I141" s="36" t="str">
        <f t="shared" ca="1" si="5"/>
        <v>25 THN 8 BLN</v>
      </c>
      <c r="J141" s="64" t="s">
        <v>378</v>
      </c>
      <c r="K141" s="59" t="s">
        <v>317</v>
      </c>
      <c r="L141" s="23" t="s">
        <v>407</v>
      </c>
      <c r="M141" s="23" t="s">
        <v>313</v>
      </c>
      <c r="N141" s="51"/>
      <c r="O141" s="70" t="s">
        <v>413</v>
      </c>
      <c r="P141" s="70" t="s">
        <v>412</v>
      </c>
    </row>
    <row r="142" spans="1:19" x14ac:dyDescent="0.35">
      <c r="A142" s="2">
        <v>723</v>
      </c>
      <c r="B142" s="3" t="s">
        <v>414</v>
      </c>
      <c r="C142" s="23" t="s">
        <v>6</v>
      </c>
      <c r="D142" s="24" t="s">
        <v>406</v>
      </c>
      <c r="E142" s="24" t="s">
        <v>316</v>
      </c>
      <c r="F142" s="39">
        <v>46195</v>
      </c>
      <c r="G142" s="36" t="str">
        <f t="shared" ref="G142:G143" ca="1" si="8">DATEDIF(F142,TODAY(),"Y")&amp; " THN "&amp;DATEDIF(F142,TODAY(),"YM")&amp;" BLN"</f>
        <v>0 THN 2 BLN</v>
      </c>
      <c r="H142" s="35"/>
      <c r="I142" s="36" t="str">
        <f t="shared" ref="I142" ca="1" si="9">DATEDIF(H142,TODAY(),"Y")&amp; " THN "&amp;DATEDIF(H142,TODAY(),"YM")&amp;" BLN"</f>
        <v>126 THN 7 BLN</v>
      </c>
      <c r="J142" s="64" t="s">
        <v>378</v>
      </c>
      <c r="K142" s="59" t="s">
        <v>317</v>
      </c>
      <c r="L142" s="23" t="s">
        <v>407</v>
      </c>
      <c r="M142" s="23" t="s">
        <v>313</v>
      </c>
      <c r="N142" s="51"/>
      <c r="O142" s="70" t="s">
        <v>415</v>
      </c>
      <c r="P142" s="70"/>
    </row>
    <row r="143" spans="1:19" x14ac:dyDescent="0.35">
      <c r="A143" s="2">
        <v>724</v>
      </c>
      <c r="B143" s="3" t="s">
        <v>419</v>
      </c>
      <c r="C143" s="23" t="s">
        <v>6</v>
      </c>
      <c r="D143" s="24" t="s">
        <v>149</v>
      </c>
      <c r="E143" s="24" t="s">
        <v>316</v>
      </c>
      <c r="F143" s="39">
        <v>46204</v>
      </c>
      <c r="G143" s="36" t="str">
        <f t="shared" ca="1" si="8"/>
        <v>0 THN 1 BLN</v>
      </c>
      <c r="H143" s="35">
        <v>37082</v>
      </c>
      <c r="I143" s="36" t="str">
        <f t="shared" ref="I143" ca="1" si="10">DATEDIF(H143,TODAY(),"Y")&amp; " THN "&amp;DATEDIF(H143,TODAY(),"YM")&amp;" BLN"</f>
        <v>25 THN 1 BLN</v>
      </c>
      <c r="J143" s="64" t="s">
        <v>378</v>
      </c>
      <c r="K143" s="59" t="s">
        <v>317</v>
      </c>
      <c r="L143" s="23" t="s">
        <v>407</v>
      </c>
      <c r="M143" s="23" t="s">
        <v>313</v>
      </c>
      <c r="N143" s="51"/>
      <c r="O143" s="70" t="s">
        <v>455</v>
      </c>
      <c r="P143" s="70" t="s">
        <v>453</v>
      </c>
      <c r="Q143" s="70" t="s">
        <v>454</v>
      </c>
    </row>
    <row r="144" spans="1:19" x14ac:dyDescent="0.35">
      <c r="A144" s="2">
        <v>725</v>
      </c>
      <c r="B144" s="3" t="s">
        <v>421</v>
      </c>
      <c r="C144" s="23" t="s">
        <v>6</v>
      </c>
      <c r="D144" s="24" t="s">
        <v>422</v>
      </c>
      <c r="E144" s="24" t="s">
        <v>316</v>
      </c>
      <c r="F144" s="39">
        <v>46205</v>
      </c>
      <c r="G144" s="36" t="str">
        <f t="shared" ref="G144" ca="1" si="11">DATEDIF(F144,TODAY(),"Y")&amp; " THN "&amp;DATEDIF(F144,TODAY(),"YM")&amp;" BLN"</f>
        <v>0 THN 1 BLN</v>
      </c>
      <c r="H144" s="35">
        <v>37676</v>
      </c>
      <c r="I144" s="36" t="str">
        <f t="shared" ref="I144" ca="1" si="12">DATEDIF(H144,TODAY(),"Y")&amp; " THN "&amp;DATEDIF(H144,TODAY(),"YM")&amp;" BLN"</f>
        <v>23 THN 6 BLN</v>
      </c>
      <c r="J144" s="64" t="s">
        <v>377</v>
      </c>
      <c r="K144" s="59" t="s">
        <v>317</v>
      </c>
      <c r="L144" s="23" t="s">
        <v>407</v>
      </c>
      <c r="M144" s="23" t="s">
        <v>313</v>
      </c>
      <c r="N144" s="51"/>
      <c r="O144" s="70"/>
      <c r="P144" s="70" t="s">
        <v>423</v>
      </c>
    </row>
    <row r="145" spans="1:17" hidden="1" x14ac:dyDescent="0.35">
      <c r="A145" s="2">
        <v>726</v>
      </c>
      <c r="B145" s="3" t="s">
        <v>424</v>
      </c>
      <c r="C145" s="23" t="s">
        <v>6</v>
      </c>
      <c r="D145" s="24" t="s">
        <v>406</v>
      </c>
      <c r="E145" s="24" t="s">
        <v>291</v>
      </c>
      <c r="F145" s="39"/>
      <c r="G145" s="36" t="str">
        <f t="shared" ref="G145" ca="1" si="13">DATEDIF(F145,TODAY(),"Y")&amp; " THN "&amp;DATEDIF(F145,TODAY(),"YM")&amp;" BLN"</f>
        <v>126 THN 7 BLN</v>
      </c>
      <c r="H145" s="35">
        <v>37940</v>
      </c>
      <c r="I145" s="36" t="str">
        <f t="shared" ref="I145" ca="1" si="14">DATEDIF(H145,TODAY(),"Y")&amp; " THN "&amp;DATEDIF(H145,TODAY(),"YM")&amp;" BLN"</f>
        <v>22 THN 9 BLN</v>
      </c>
      <c r="J145" s="64" t="s">
        <v>378</v>
      </c>
      <c r="K145" s="59" t="s">
        <v>317</v>
      </c>
      <c r="L145" s="23" t="s">
        <v>313</v>
      </c>
      <c r="M145" s="23" t="s">
        <v>313</v>
      </c>
      <c r="N145" s="51"/>
      <c r="O145" s="70"/>
      <c r="P145" s="70" t="s">
        <v>423</v>
      </c>
    </row>
    <row r="146" spans="1:17" x14ac:dyDescent="0.35">
      <c r="A146" s="2">
        <v>727</v>
      </c>
      <c r="B146" s="3" t="s">
        <v>425</v>
      </c>
      <c r="C146" s="23" t="s">
        <v>34</v>
      </c>
      <c r="D146" s="24" t="s">
        <v>406</v>
      </c>
      <c r="E146" s="24" t="s">
        <v>316</v>
      </c>
      <c r="F146" s="39">
        <v>46077</v>
      </c>
      <c r="G146" s="36" t="str">
        <f t="shared" ref="G146:G148" ca="1" si="15">DATEDIF(F146,TODAY(),"Y")&amp; " THN "&amp;DATEDIF(F146,TODAY(),"YM")&amp;" BLN"</f>
        <v>0 THN 6 BLN</v>
      </c>
      <c r="H146" s="35">
        <v>38305</v>
      </c>
      <c r="I146" s="36" t="str">
        <f t="shared" ref="I146:I148" ca="1" si="16">DATEDIF(H146,TODAY(),"Y")&amp; " THN "&amp;DATEDIF(H146,TODAY(),"YM")&amp;" BLN"</f>
        <v>21 THN 9 BLN</v>
      </c>
      <c r="J146" s="64" t="s">
        <v>378</v>
      </c>
      <c r="K146" s="59" t="s">
        <v>317</v>
      </c>
      <c r="L146" s="23" t="s">
        <v>407</v>
      </c>
      <c r="M146" s="23" t="s">
        <v>313</v>
      </c>
      <c r="N146" s="51"/>
      <c r="O146" s="70"/>
      <c r="P146" s="70" t="s">
        <v>426</v>
      </c>
    </row>
    <row r="147" spans="1:17" x14ac:dyDescent="0.35">
      <c r="A147" s="2">
        <v>728</v>
      </c>
      <c r="B147" s="3" t="s">
        <v>439</v>
      </c>
      <c r="C147" s="23" t="s">
        <v>6</v>
      </c>
      <c r="D147" s="24" t="s">
        <v>449</v>
      </c>
      <c r="E147" s="24" t="s">
        <v>316</v>
      </c>
      <c r="F147" s="39">
        <v>46213</v>
      </c>
      <c r="G147" s="36" t="str">
        <f t="shared" ca="1" si="15"/>
        <v>0 THN 1 BLN</v>
      </c>
      <c r="H147" s="35">
        <v>35804</v>
      </c>
      <c r="I147" s="36" t="str">
        <f t="shared" ca="1" si="16"/>
        <v>28 THN 7 BLN</v>
      </c>
      <c r="J147" s="64" t="s">
        <v>378</v>
      </c>
      <c r="K147" s="59" t="s">
        <v>317</v>
      </c>
      <c r="L147" s="23" t="s">
        <v>407</v>
      </c>
      <c r="M147" s="23" t="s">
        <v>313</v>
      </c>
      <c r="N147" s="51"/>
      <c r="O147" s="70" t="s">
        <v>452</v>
      </c>
      <c r="P147" s="70" t="s">
        <v>451</v>
      </c>
      <c r="Q147" s="70" t="s">
        <v>450</v>
      </c>
    </row>
    <row r="148" spans="1:17" x14ac:dyDescent="0.35">
      <c r="A148" s="2">
        <v>729</v>
      </c>
      <c r="B148" s="3" t="s">
        <v>456</v>
      </c>
      <c r="C148" s="23" t="s">
        <v>6</v>
      </c>
      <c r="D148" s="24" t="s">
        <v>422</v>
      </c>
      <c r="E148" s="24" t="s">
        <v>316</v>
      </c>
      <c r="F148" s="39">
        <v>46220</v>
      </c>
      <c r="G148" s="36" t="str">
        <f t="shared" ca="1" si="15"/>
        <v>0 THN 1 BLN</v>
      </c>
      <c r="H148" s="35">
        <v>35652</v>
      </c>
      <c r="I148" s="36" t="str">
        <f t="shared" ca="1" si="16"/>
        <v>29 THN 0 BLN</v>
      </c>
      <c r="J148" s="64" t="s">
        <v>377</v>
      </c>
      <c r="K148" s="59" t="s">
        <v>317</v>
      </c>
      <c r="L148" s="23" t="s">
        <v>407</v>
      </c>
      <c r="M148" s="23" t="s">
        <v>313</v>
      </c>
      <c r="N148" s="51"/>
      <c r="O148" s="70" t="s">
        <v>457</v>
      </c>
      <c r="P148" s="70" t="s">
        <v>458</v>
      </c>
    </row>
    <row r="149" spans="1:17" x14ac:dyDescent="0.35">
      <c r="A149" s="2">
        <v>730</v>
      </c>
      <c r="B149" s="3" t="s">
        <v>420</v>
      </c>
      <c r="C149" s="23" t="s">
        <v>6</v>
      </c>
      <c r="D149" s="24" t="s">
        <v>13</v>
      </c>
      <c r="E149" s="24" t="s">
        <v>316</v>
      </c>
      <c r="F149" s="39">
        <v>46226</v>
      </c>
      <c r="G149" s="36" t="str">
        <f t="shared" ref="G149" ca="1" si="17">DATEDIF(F149,TODAY(),"Y")&amp; " THN "&amp;DATEDIF(F149,TODAY(),"YM")&amp;" BLN"</f>
        <v>0 THN 1 BLN</v>
      </c>
      <c r="H149" s="35">
        <v>37993</v>
      </c>
      <c r="I149" s="36" t="str">
        <f t="shared" ref="I149" ca="1" si="18">DATEDIF(H149,TODAY(),"Y")&amp; " THN "&amp;DATEDIF(H149,TODAY(),"YM")&amp;" BLN"</f>
        <v>22 THN 7 BLN</v>
      </c>
      <c r="J149" s="64" t="s">
        <v>377</v>
      </c>
      <c r="K149" s="59" t="s">
        <v>317</v>
      </c>
      <c r="L149" s="23" t="s">
        <v>407</v>
      </c>
      <c r="M149" s="23" t="s">
        <v>313</v>
      </c>
      <c r="N149" s="51"/>
      <c r="O149" s="70" t="s">
        <v>438</v>
      </c>
      <c r="P149" s="70" t="s">
        <v>437</v>
      </c>
      <c r="Q149" s="70" t="s">
        <v>459</v>
      </c>
    </row>
    <row r="150" spans="1:17" x14ac:dyDescent="0.35">
      <c r="A150" s="2">
        <v>731</v>
      </c>
      <c r="B150" s="3" t="s">
        <v>440</v>
      </c>
      <c r="C150" s="23" t="s">
        <v>192</v>
      </c>
      <c r="D150" s="24" t="s">
        <v>442</v>
      </c>
      <c r="E150" s="24" t="s">
        <v>316</v>
      </c>
      <c r="F150" s="39">
        <v>46241</v>
      </c>
      <c r="G150" s="36" t="str">
        <f t="shared" ref="G150:G151" ca="1" si="19">DATEDIF(F150,TODAY(),"Y")&amp; " THN "&amp;DATEDIF(F150,TODAY(),"YM")&amp;" BLN"</f>
        <v>0 THN 0 BLN</v>
      </c>
      <c r="H150" s="35">
        <v>36922</v>
      </c>
      <c r="I150" s="36" t="str">
        <f t="shared" ref="I150:I151" ca="1" si="20">DATEDIF(H150,TODAY(),"Y")&amp; " THN "&amp;DATEDIF(H150,TODAY(),"YM")&amp;" BLN"</f>
        <v>25 THN 6 BLN</v>
      </c>
      <c r="J150" s="64" t="s">
        <v>377</v>
      </c>
      <c r="K150" s="59" t="s">
        <v>317</v>
      </c>
      <c r="L150" s="23" t="s">
        <v>407</v>
      </c>
      <c r="M150" s="23" t="s">
        <v>313</v>
      </c>
      <c r="N150" s="51"/>
      <c r="O150" s="70" t="s">
        <v>445</v>
      </c>
      <c r="P150" s="70" t="s">
        <v>444</v>
      </c>
      <c r="Q150" s="70" t="s">
        <v>443</v>
      </c>
    </row>
    <row r="151" spans="1:17" x14ac:dyDescent="0.35">
      <c r="A151" s="2">
        <v>732</v>
      </c>
      <c r="B151" s="3" t="s">
        <v>441</v>
      </c>
      <c r="C151" s="23" t="s">
        <v>192</v>
      </c>
      <c r="D151" s="24" t="s">
        <v>77</v>
      </c>
      <c r="E151" s="24" t="s">
        <v>316</v>
      </c>
      <c r="F151" s="39">
        <v>46241</v>
      </c>
      <c r="G151" s="36" t="str">
        <f t="shared" ca="1" si="19"/>
        <v>0 THN 0 BLN</v>
      </c>
      <c r="H151" s="35">
        <v>39017</v>
      </c>
      <c r="I151" s="36" t="str">
        <f t="shared" ca="1" si="20"/>
        <v>19 THN 10 BLN</v>
      </c>
      <c r="J151" s="64" t="s">
        <v>377</v>
      </c>
      <c r="K151" s="59" t="s">
        <v>317</v>
      </c>
      <c r="L151" s="23" t="s">
        <v>407</v>
      </c>
      <c r="M151" s="23" t="s">
        <v>313</v>
      </c>
      <c r="N151" s="51"/>
      <c r="O151" s="70" t="s">
        <v>448</v>
      </c>
      <c r="P151" s="70" t="s">
        <v>447</v>
      </c>
      <c r="Q151" s="70" t="s">
        <v>446</v>
      </c>
    </row>
    <row r="152" spans="1:17" hidden="1" x14ac:dyDescent="0.35">
      <c r="A152" s="2">
        <v>733</v>
      </c>
      <c r="B152" s="3"/>
      <c r="C152" s="23"/>
      <c r="D152" s="24"/>
      <c r="E152" s="24"/>
      <c r="F152" s="39"/>
      <c r="G152" s="36"/>
      <c r="H152" s="35"/>
      <c r="I152" s="36"/>
      <c r="J152" s="64"/>
      <c r="K152" s="59"/>
      <c r="L152" s="23"/>
      <c r="M152" s="23"/>
      <c r="N152" s="51"/>
      <c r="O152" s="70"/>
      <c r="P152" s="70"/>
      <c r="Q152" s="70"/>
    </row>
    <row r="153" spans="1:17" hidden="1" x14ac:dyDescent="0.35">
      <c r="A153" s="2">
        <v>734</v>
      </c>
      <c r="B153" s="3"/>
      <c r="C153" s="23"/>
      <c r="D153" s="24"/>
      <c r="E153" s="24"/>
      <c r="F153" s="39"/>
      <c r="G153" s="36"/>
      <c r="H153" s="35"/>
      <c r="I153" s="36"/>
      <c r="J153" s="64"/>
      <c r="K153" s="59"/>
      <c r="L153" s="23"/>
      <c r="M153" s="23"/>
      <c r="N153" s="51"/>
      <c r="O153" s="70"/>
      <c r="P153" s="70"/>
      <c r="Q153" s="70"/>
    </row>
    <row r="154" spans="1:17" hidden="1" x14ac:dyDescent="0.35">
      <c r="A154" s="2">
        <v>735</v>
      </c>
      <c r="B154" s="3"/>
      <c r="C154" s="23"/>
      <c r="D154" s="24"/>
      <c r="E154" s="24"/>
      <c r="F154" s="39"/>
      <c r="G154" s="36"/>
      <c r="H154" s="35"/>
      <c r="I154" s="36"/>
      <c r="J154" s="64"/>
      <c r="K154" s="59"/>
      <c r="L154" s="23"/>
      <c r="M154" s="23"/>
      <c r="N154" s="51"/>
      <c r="O154" s="70"/>
      <c r="P154" s="70"/>
      <c r="Q154" s="70"/>
    </row>
    <row r="155" spans="1:17" x14ac:dyDescent="0.35">
      <c r="A155" s="2">
        <v>733</v>
      </c>
      <c r="B155" s="3" t="s">
        <v>463</v>
      </c>
      <c r="C155" s="23" t="s">
        <v>192</v>
      </c>
      <c r="D155" s="24" t="s">
        <v>464</v>
      </c>
      <c r="E155" s="24" t="s">
        <v>316</v>
      </c>
      <c r="F155" s="39">
        <v>46241</v>
      </c>
      <c r="G155" s="36" t="str">
        <f t="shared" ref="G155:G157" ca="1" si="21">DATEDIF(F155,TODAY(),"Y")&amp; " THN "&amp;DATEDIF(F155,TODAY(),"YM")&amp;" BLN"</f>
        <v>0 THN 0 BLN</v>
      </c>
      <c r="H155" s="35"/>
      <c r="I155" s="36"/>
      <c r="J155" s="64" t="s">
        <v>377</v>
      </c>
      <c r="K155" s="59"/>
      <c r="L155" s="23"/>
      <c r="M155" s="23"/>
      <c r="N155" s="51"/>
      <c r="O155" s="70"/>
      <c r="P155" s="70"/>
      <c r="Q155" s="70"/>
    </row>
    <row r="156" spans="1:17" x14ac:dyDescent="0.35">
      <c r="A156" s="2">
        <v>734</v>
      </c>
      <c r="B156" s="3" t="s">
        <v>460</v>
      </c>
      <c r="C156" s="23" t="s">
        <v>192</v>
      </c>
      <c r="D156" s="24" t="s">
        <v>77</v>
      </c>
      <c r="E156" s="24" t="s">
        <v>316</v>
      </c>
      <c r="F156" s="39">
        <v>46241</v>
      </c>
      <c r="G156" s="36" t="str">
        <f t="shared" ca="1" si="21"/>
        <v>0 THN 0 BLN</v>
      </c>
      <c r="H156" s="35"/>
      <c r="I156" s="36"/>
      <c r="J156" s="64" t="s">
        <v>378</v>
      </c>
      <c r="K156" s="59"/>
      <c r="L156" s="23"/>
      <c r="M156" s="23"/>
      <c r="N156" s="51"/>
      <c r="O156" s="70"/>
      <c r="P156" s="70"/>
      <c r="Q156" s="70"/>
    </row>
    <row r="157" spans="1:17" x14ac:dyDescent="0.35">
      <c r="A157" s="2">
        <v>735</v>
      </c>
      <c r="B157" s="3" t="s">
        <v>465</v>
      </c>
      <c r="C157" s="23" t="s">
        <v>466</v>
      </c>
      <c r="D157" s="24" t="s">
        <v>466</v>
      </c>
      <c r="E157" s="24" t="s">
        <v>316</v>
      </c>
      <c r="F157" s="39">
        <v>46245</v>
      </c>
      <c r="G157" s="36" t="str">
        <f t="shared" ca="1" si="21"/>
        <v>0 THN 0 BLN</v>
      </c>
      <c r="H157" s="35">
        <v>46122</v>
      </c>
      <c r="I157" s="36" t="str">
        <f t="shared" ref="I157" ca="1" si="22">DATEDIF(H157,TODAY(),"Y")&amp; " THN "&amp;DATEDIF(H157,TODAY(),"YM")&amp;" BLN"</f>
        <v>0 THN 4 BLN</v>
      </c>
      <c r="J157" s="64" t="s">
        <v>378</v>
      </c>
      <c r="K157" s="59" t="s">
        <v>317</v>
      </c>
      <c r="L157" s="23" t="s">
        <v>407</v>
      </c>
      <c r="M157" s="23" t="s">
        <v>313</v>
      </c>
      <c r="N157" s="51"/>
      <c r="O157" s="70" t="s">
        <v>469</v>
      </c>
      <c r="P157" s="70" t="s">
        <v>467</v>
      </c>
      <c r="Q157" s="70" t="s">
        <v>468</v>
      </c>
    </row>
    <row r="158" spans="1:17" x14ac:dyDescent="0.35">
      <c r="A158" s="2">
        <v>736</v>
      </c>
      <c r="B158" s="3" t="s">
        <v>461</v>
      </c>
      <c r="C158" s="23" t="s">
        <v>192</v>
      </c>
      <c r="D158" s="24" t="s">
        <v>462</v>
      </c>
      <c r="E158" s="24" t="s">
        <v>316</v>
      </c>
      <c r="F158" s="39">
        <v>46252</v>
      </c>
      <c r="G158" s="36" t="str">
        <f t="shared" ref="G158" ca="1" si="23">DATEDIF(F158,TODAY(),"Y")&amp; " THN "&amp;DATEDIF(F158,TODAY(),"YM")&amp;" BLN"</f>
        <v>0 THN 0 BLN</v>
      </c>
      <c r="H158" s="35"/>
      <c r="I158" s="36"/>
      <c r="J158" s="64" t="s">
        <v>377</v>
      </c>
      <c r="K158" s="59"/>
      <c r="L158" s="23"/>
      <c r="M158" s="23"/>
      <c r="N158" s="51"/>
      <c r="O158" s="70" t="s">
        <v>469</v>
      </c>
    </row>
  </sheetData>
  <autoFilter ref="A2:N154" xr:uid="{2A6C5FF2-626E-4BF5-83CB-3F0D15C7A020}">
    <filterColumn colId="4">
      <filters>
        <filter val="AKTIF"/>
      </filters>
    </filterColumn>
  </autoFilter>
  <mergeCells count="7">
    <mergeCell ref="L1:N1"/>
    <mergeCell ref="A1:A2"/>
    <mergeCell ref="B1:B2"/>
    <mergeCell ref="C1:E1"/>
    <mergeCell ref="F1:G1"/>
    <mergeCell ref="H1:J1"/>
    <mergeCell ref="K1:K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07.27</vt:lpstr>
      <vt:lpstr>10.07</vt:lpstr>
      <vt:lpstr>1901</vt:lpstr>
      <vt:lpstr>2025</vt:lpstr>
      <vt:lpstr>2026</vt:lpstr>
      <vt:lpstr>2026 NEW</vt:lpstr>
      <vt:lpstr>2026 NEW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HRD TM</cp:lastModifiedBy>
  <cp:lastPrinted>2020-07-06T07:07:26Z</cp:lastPrinted>
  <dcterms:created xsi:type="dcterms:W3CDTF">2019-02-01T09:35:53Z</dcterms:created>
  <dcterms:modified xsi:type="dcterms:W3CDTF">2026-08-29T04:00:30Z</dcterms:modified>
</cp:coreProperties>
</file>